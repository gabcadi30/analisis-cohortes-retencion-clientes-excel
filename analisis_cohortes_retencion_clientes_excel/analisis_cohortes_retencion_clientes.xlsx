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gabal\OneDrive\Escritorio\"/>
    </mc:Choice>
  </mc:AlternateContent>
  <bookViews>
    <workbookView xWindow="0" yWindow="0" windowWidth="13056" windowHeight="3768" activeTab="2"/>
  </bookViews>
  <sheets>
    <sheet name="origen_datos_mensuales" sheetId="10" r:id="rId1"/>
    <sheet name="referencia" sheetId="12" r:id="rId2"/>
    <sheet name="retencion_mensual" sheetId="11" r:id="rId3"/>
    <sheet name="origen_datos_trimestral" sheetId="3" r:id="rId4"/>
    <sheet name="churn_trimestral" sheetId="13" r:id="rId5"/>
  </sheets>
  <definedNames>
    <definedName name="DatosExternos_1" localSheetId="0" hidden="1">origen_datos_mensuales!$A$1:$AB$331</definedName>
    <definedName name="DatosExternos_1" localSheetId="3" hidden="1">origen_datos_trimestral!$A$1:$O$331</definedName>
  </definedNames>
  <calcPr calcId="162913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3" l="1"/>
  <c r="J20" i="13"/>
  <c r="J21" i="13"/>
  <c r="J22" i="13"/>
  <c r="J23" i="13"/>
  <c r="J24" i="13"/>
  <c r="J25" i="13"/>
  <c r="J18" i="13"/>
  <c r="B18" i="13"/>
  <c r="C18" i="13"/>
  <c r="D18" i="13"/>
  <c r="E18" i="13"/>
  <c r="F18" i="13"/>
  <c r="G18" i="13"/>
  <c r="H18" i="13"/>
  <c r="I18" i="13"/>
  <c r="B19" i="13"/>
  <c r="C19" i="13"/>
  <c r="D19" i="13"/>
  <c r="E19" i="13"/>
  <c r="F19" i="13"/>
  <c r="G19" i="13"/>
  <c r="H19" i="13"/>
  <c r="I19" i="13"/>
  <c r="B20" i="13"/>
  <c r="C20" i="13"/>
  <c r="D20" i="13"/>
  <c r="E20" i="13"/>
  <c r="F20" i="13"/>
  <c r="G20" i="13"/>
  <c r="H20" i="13"/>
  <c r="I20" i="13"/>
  <c r="B21" i="13"/>
  <c r="C21" i="13"/>
  <c r="D21" i="13"/>
  <c r="E21" i="13"/>
  <c r="F21" i="13"/>
  <c r="G21" i="13"/>
  <c r="H21" i="13"/>
  <c r="I21" i="13"/>
  <c r="B22" i="13"/>
  <c r="C22" i="13"/>
  <c r="D22" i="13"/>
  <c r="E22" i="13"/>
  <c r="F22" i="13"/>
  <c r="G22" i="13"/>
  <c r="H22" i="13"/>
  <c r="I22" i="13"/>
  <c r="B23" i="13"/>
  <c r="C23" i="13"/>
  <c r="D23" i="13"/>
  <c r="E23" i="13"/>
  <c r="F23" i="13"/>
  <c r="G23" i="13"/>
  <c r="H23" i="13"/>
  <c r="I23" i="13"/>
  <c r="B24" i="13"/>
  <c r="C24" i="13"/>
  <c r="D24" i="13"/>
  <c r="E24" i="13"/>
  <c r="F24" i="13"/>
  <c r="G24" i="13"/>
  <c r="H24" i="13"/>
  <c r="I24" i="13"/>
  <c r="B25" i="13"/>
  <c r="C25" i="13"/>
  <c r="D25" i="13"/>
  <c r="E25" i="13"/>
  <c r="F25" i="13"/>
  <c r="G25" i="13"/>
  <c r="H25" i="13"/>
  <c r="I25" i="13"/>
  <c r="C34" i="11"/>
  <c r="F26" i="13" l="1"/>
  <c r="B37" i="13"/>
  <c r="B34" i="13"/>
  <c r="I38" i="13"/>
  <c r="I34" i="13"/>
  <c r="H38" i="13"/>
  <c r="H35" i="13"/>
  <c r="H32" i="13"/>
  <c r="G37" i="13"/>
  <c r="G34" i="13"/>
  <c r="F35" i="13"/>
  <c r="F32" i="13"/>
  <c r="E38" i="13"/>
  <c r="E37" i="13"/>
  <c r="E36" i="13"/>
  <c r="E35" i="13"/>
  <c r="E34" i="13"/>
  <c r="E33" i="13"/>
  <c r="E32" i="13"/>
  <c r="B38" i="13"/>
  <c r="B35" i="13"/>
  <c r="B32" i="13"/>
  <c r="I36" i="13"/>
  <c r="I33" i="13"/>
  <c r="H36" i="13"/>
  <c r="H33" i="13"/>
  <c r="G38" i="13"/>
  <c r="G35" i="13"/>
  <c r="G32" i="13"/>
  <c r="F36" i="13"/>
  <c r="F33" i="13"/>
  <c r="D38" i="13"/>
  <c r="D37" i="13"/>
  <c r="D36" i="13"/>
  <c r="D35" i="13"/>
  <c r="D34" i="13"/>
  <c r="D33" i="13"/>
  <c r="D32" i="13"/>
  <c r="B36" i="13"/>
  <c r="B33" i="13"/>
  <c r="I37" i="13"/>
  <c r="I35" i="13"/>
  <c r="I32" i="13"/>
  <c r="H37" i="13"/>
  <c r="H34" i="13"/>
  <c r="G36" i="13"/>
  <c r="G33" i="13"/>
  <c r="F37" i="13"/>
  <c r="F34" i="13"/>
  <c r="C38" i="13"/>
  <c r="C37" i="13"/>
  <c r="C36" i="13"/>
  <c r="C35" i="13"/>
  <c r="C34" i="13"/>
  <c r="C33" i="13"/>
  <c r="C32" i="13"/>
  <c r="J26" i="13"/>
  <c r="B31" i="13"/>
  <c r="F31" i="13"/>
  <c r="E31" i="13"/>
  <c r="I31" i="13"/>
  <c r="D31" i="13"/>
  <c r="H31" i="13"/>
  <c r="G31" i="13"/>
  <c r="C31" i="13"/>
  <c r="F38" i="13"/>
  <c r="B26" i="13"/>
  <c r="E26" i="13"/>
  <c r="I26" i="13"/>
  <c r="H26" i="13"/>
  <c r="G26" i="13"/>
  <c r="D26" i="13"/>
  <c r="C26" i="13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W68" i="11" s="1"/>
  <c r="X36" i="11"/>
  <c r="Y36" i="11"/>
  <c r="Z36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F34" i="11"/>
  <c r="F58" i="11" s="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E34" i="11"/>
  <c r="E58" i="11" s="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34" i="11"/>
  <c r="D58" i="11" s="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35" i="11"/>
  <c r="C36" i="11"/>
  <c r="C58" i="11" s="1"/>
  <c r="C37" i="11"/>
  <c r="C38" i="11"/>
  <c r="C39" i="11"/>
  <c r="C40" i="11"/>
  <c r="C41" i="11"/>
  <c r="C42" i="11"/>
  <c r="C43" i="11"/>
  <c r="C39" i="13" l="1"/>
  <c r="E39" i="13"/>
  <c r="I39" i="13"/>
  <c r="B39" i="13"/>
  <c r="H39" i="13"/>
  <c r="G39" i="13"/>
  <c r="D39" i="13"/>
  <c r="F39" i="13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U90" i="11" s="1"/>
  <c r="V66" i="11"/>
  <c r="V90" i="11" s="1"/>
  <c r="W66" i="11"/>
  <c r="W90" i="11" s="1"/>
  <c r="X66" i="11"/>
  <c r="Y66" i="11"/>
  <c r="Z66" i="11"/>
  <c r="Z90" i="11" s="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X68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H74" i="11"/>
  <c r="I74" i="11"/>
  <c r="J74" i="11"/>
  <c r="K74" i="11"/>
  <c r="L74" i="11"/>
  <c r="M74" i="11"/>
  <c r="N74" i="11"/>
  <c r="O74" i="11"/>
  <c r="P74" i="11"/>
  <c r="Q74" i="11"/>
  <c r="R74" i="11"/>
  <c r="H75" i="11"/>
  <c r="I75" i="11"/>
  <c r="J75" i="11"/>
  <c r="K75" i="11"/>
  <c r="L75" i="11"/>
  <c r="M75" i="11"/>
  <c r="N75" i="11"/>
  <c r="O75" i="11"/>
  <c r="P75" i="11"/>
  <c r="Q75" i="11"/>
  <c r="H76" i="11"/>
  <c r="I76" i="11"/>
  <c r="J76" i="11"/>
  <c r="K76" i="11"/>
  <c r="L76" i="11"/>
  <c r="M76" i="11"/>
  <c r="N76" i="11"/>
  <c r="O76" i="11"/>
  <c r="P76" i="11"/>
  <c r="H77" i="11"/>
  <c r="I77" i="11"/>
  <c r="J77" i="11"/>
  <c r="K77" i="11"/>
  <c r="L77" i="11"/>
  <c r="M77" i="11"/>
  <c r="N77" i="11"/>
  <c r="O77" i="11"/>
  <c r="H78" i="11"/>
  <c r="I78" i="11"/>
  <c r="J78" i="11"/>
  <c r="K78" i="11"/>
  <c r="L78" i="11"/>
  <c r="M78" i="11"/>
  <c r="N78" i="11"/>
  <c r="H79" i="11"/>
  <c r="I79" i="11"/>
  <c r="J79" i="11"/>
  <c r="K79" i="11"/>
  <c r="L79" i="11"/>
  <c r="M79" i="11"/>
  <c r="H80" i="11"/>
  <c r="I80" i="11"/>
  <c r="J80" i="11"/>
  <c r="K80" i="11"/>
  <c r="L80" i="11"/>
  <c r="H81" i="11"/>
  <c r="I81" i="11"/>
  <c r="J81" i="11"/>
  <c r="K81" i="11"/>
  <c r="H82" i="11"/>
  <c r="I82" i="11"/>
  <c r="J82" i="11"/>
  <c r="H83" i="11"/>
  <c r="I83" i="11"/>
  <c r="H84" i="11"/>
  <c r="G71" i="11"/>
  <c r="G66" i="11"/>
  <c r="E66" i="11"/>
  <c r="F66" i="11"/>
  <c r="E67" i="11"/>
  <c r="F67" i="11"/>
  <c r="G67" i="11"/>
  <c r="E68" i="11"/>
  <c r="F68" i="11"/>
  <c r="G68" i="11"/>
  <c r="E69" i="11"/>
  <c r="F69" i="11"/>
  <c r="G69" i="11"/>
  <c r="E70" i="11"/>
  <c r="F70" i="11"/>
  <c r="G70" i="11"/>
  <c r="E71" i="11"/>
  <c r="F71" i="11"/>
  <c r="E72" i="11"/>
  <c r="F72" i="11"/>
  <c r="G72" i="11"/>
  <c r="E73" i="11"/>
  <c r="F73" i="11"/>
  <c r="G73" i="11"/>
  <c r="E74" i="11"/>
  <c r="F74" i="11"/>
  <c r="G74" i="11"/>
  <c r="E75" i="11"/>
  <c r="F75" i="11"/>
  <c r="G75" i="11"/>
  <c r="E76" i="11"/>
  <c r="F76" i="11"/>
  <c r="G76" i="11"/>
  <c r="E77" i="11"/>
  <c r="F77" i="11"/>
  <c r="G77" i="11"/>
  <c r="E78" i="11"/>
  <c r="F78" i="11"/>
  <c r="G78" i="11"/>
  <c r="E79" i="11"/>
  <c r="F79" i="11"/>
  <c r="G79" i="11"/>
  <c r="E80" i="11"/>
  <c r="F80" i="11"/>
  <c r="G80" i="11"/>
  <c r="E81" i="11"/>
  <c r="F81" i="11"/>
  <c r="G81" i="11"/>
  <c r="E82" i="11"/>
  <c r="F82" i="11"/>
  <c r="G82" i="11"/>
  <c r="E83" i="11"/>
  <c r="F83" i="11"/>
  <c r="G83" i="11"/>
  <c r="E84" i="11"/>
  <c r="F84" i="11"/>
  <c r="G84" i="11"/>
  <c r="E85" i="11"/>
  <c r="F85" i="11"/>
  <c r="G85" i="11"/>
  <c r="E86" i="11"/>
  <c r="F86" i="11"/>
  <c r="E87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67" i="11"/>
  <c r="C66" i="11"/>
  <c r="K58" i="11"/>
  <c r="S58" i="11"/>
  <c r="L58" i="11"/>
  <c r="T58" i="11"/>
  <c r="U58" i="11"/>
  <c r="V58" i="11"/>
  <c r="W58" i="11"/>
  <c r="X58" i="11"/>
  <c r="Y58" i="11"/>
  <c r="Z58" i="11"/>
  <c r="G58" i="11"/>
  <c r="H58" i="11"/>
  <c r="I58" i="11"/>
  <c r="J58" i="11"/>
  <c r="M58" i="11"/>
  <c r="N58" i="11"/>
  <c r="O58" i="11"/>
  <c r="P58" i="11"/>
  <c r="Q58" i="11"/>
  <c r="R58" i="11"/>
  <c r="E90" i="11" l="1"/>
  <c r="G90" i="11"/>
  <c r="N90" i="11"/>
  <c r="M90" i="11"/>
  <c r="L90" i="11"/>
  <c r="K90" i="11"/>
  <c r="C90" i="11"/>
  <c r="R90" i="11"/>
  <c r="J90" i="11"/>
  <c r="O90" i="11"/>
  <c r="D90" i="11"/>
  <c r="Y90" i="11"/>
  <c r="Q90" i="11"/>
  <c r="I90" i="11"/>
  <c r="T90" i="11"/>
  <c r="S90" i="11"/>
  <c r="F90" i="11"/>
  <c r="X90" i="11"/>
  <c r="P90" i="11"/>
  <c r="H90" i="11"/>
  <c r="H1" i="12"/>
  <c r="I1" i="12" s="1"/>
  <c r="J1" i="12" s="1"/>
  <c r="K1" i="12" s="1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Y1" i="12" s="1"/>
  <c r="Z1" i="12" s="1"/>
  <c r="E1" i="12"/>
  <c r="F1" i="12" s="1"/>
  <c r="G1" i="12" s="1"/>
  <c r="D1" i="12"/>
  <c r="C1" i="12"/>
</calcChain>
</file>

<file path=xl/connections.xml><?xml version="1.0" encoding="utf-8"?>
<connections xmlns="http://schemas.openxmlformats.org/spreadsheetml/2006/main">
  <connection id="1" keepAlive="1" name="Consulta - retencion-por-mes (2)" description="Conexión a la consulta 'retencion-por-mes (2)' en el libro." type="5" refreshedVersion="6" background="1" saveData="1">
    <dbPr connection="Provider=Microsoft.Mashup.OleDb.1;Data Source=$Workbook$;Location=retencion-por-mes (2);Extended Properties=&quot;&quot;" command="SELECT * FROM [retencion-por-mes (2)]"/>
  </connection>
  <connection id="2" keepAlive="1" name="Consulta - retencion-por-trimestre" description="Conexión a la consulta 'retencion-por-trimestre' en el libro." type="5" refreshedVersion="6" background="1" saveData="1">
    <dbPr connection="Provider=Microsoft.Mashup.OleDb.1;Data Source=$Workbook$;Location=retencion-por-trimestre;Extended Properties=&quot;&quot;" command="SELECT * FROM [retencion-por-trimestre]"/>
  </connection>
</connections>
</file>

<file path=xl/sharedStrings.xml><?xml version="1.0" encoding="utf-8"?>
<sst xmlns="http://schemas.openxmlformats.org/spreadsheetml/2006/main" count="2280" uniqueCount="442">
  <si>
    <t>Cliente</t>
  </si>
  <si>
    <t>Estado Cliente</t>
  </si>
  <si>
    <t>Mes Registro</t>
  </si>
  <si>
    <t>Mes de Abandono (Churn)</t>
  </si>
  <si>
    <t>1/2019</t>
  </si>
  <si>
    <t>2/2019</t>
  </si>
  <si>
    <t>3/2019</t>
  </si>
  <si>
    <t>4/2019</t>
  </si>
  <si>
    <t>5/2019</t>
  </si>
  <si>
    <t>6/2019</t>
  </si>
  <si>
    <t>7/2019</t>
  </si>
  <si>
    <t>8/2019</t>
  </si>
  <si>
    <t>9/2019</t>
  </si>
  <si>
    <t>10/2019</t>
  </si>
  <si>
    <t>11/2019</t>
  </si>
  <si>
    <t>12/2019</t>
  </si>
  <si>
    <t>1/2020</t>
  </si>
  <si>
    <t>2/2020</t>
  </si>
  <si>
    <t>3/2020</t>
  </si>
  <si>
    <t>4/2020</t>
  </si>
  <si>
    <t>5/2020</t>
  </si>
  <si>
    <t>6/2020</t>
  </si>
  <si>
    <t>7/2020</t>
  </si>
  <si>
    <t>8/2020</t>
  </si>
  <si>
    <t>9/2020</t>
  </si>
  <si>
    <t>10/2020</t>
  </si>
  <si>
    <t>11/2020</t>
  </si>
  <si>
    <t>12/2020</t>
  </si>
  <si>
    <t>George Garcia</t>
  </si>
  <si>
    <t>Active</t>
  </si>
  <si>
    <t>James Johnson</t>
  </si>
  <si>
    <t>Churned</t>
  </si>
  <si>
    <t>John Williams</t>
  </si>
  <si>
    <t>Robert Jones</t>
  </si>
  <si>
    <t>Michael Brown</t>
  </si>
  <si>
    <t>Mary Davis</t>
  </si>
  <si>
    <t>William Miller</t>
  </si>
  <si>
    <t>David Wilson</t>
  </si>
  <si>
    <t>Joseph Moore</t>
  </si>
  <si>
    <t>Richard Taylor</t>
  </si>
  <si>
    <t>Charles Anderson</t>
  </si>
  <si>
    <t>Thomas Thomas</t>
  </si>
  <si>
    <t>Christopher Jackson</t>
  </si>
  <si>
    <t>Daniel White</t>
  </si>
  <si>
    <t>Elizabeth Harris</t>
  </si>
  <si>
    <t>Matthew Martin</t>
  </si>
  <si>
    <t>Patricia Thompson</t>
  </si>
  <si>
    <t>Brian Smith</t>
  </si>
  <si>
    <t>Jennifer Martinez</t>
  </si>
  <si>
    <t>Linda Robinson</t>
  </si>
  <si>
    <t>Anthony Clark</t>
  </si>
  <si>
    <t>Barbara Rodriguez</t>
  </si>
  <si>
    <t>Donald Lewis</t>
  </si>
  <si>
    <t>Paul Lee</t>
  </si>
  <si>
    <t>Mark Walker</t>
  </si>
  <si>
    <t>Andrew Hall</t>
  </si>
  <si>
    <t>Edward Allen</t>
  </si>
  <si>
    <t>Steven Young</t>
  </si>
  <si>
    <t>Kenneth Hernandez</t>
  </si>
  <si>
    <t>Margaret King</t>
  </si>
  <si>
    <t>Joshua Wright</t>
  </si>
  <si>
    <t>Kevin Lopez</t>
  </si>
  <si>
    <t>Brian Hill</t>
  </si>
  <si>
    <t>Susan Scott</t>
  </si>
  <si>
    <t>Dorothy Green</t>
  </si>
  <si>
    <t>Ronald Adams</t>
  </si>
  <si>
    <t>Sarah Baker</t>
  </si>
  <si>
    <t>Timothy Gonzalez</t>
  </si>
  <si>
    <t>Jessica Nelson</t>
  </si>
  <si>
    <t>Jason Carter</t>
  </si>
  <si>
    <t>Helen Mitchell</t>
  </si>
  <si>
    <t>Nancy Perez</t>
  </si>
  <si>
    <t>Betty Roberts</t>
  </si>
  <si>
    <t>Karen Turner</t>
  </si>
  <si>
    <t>Jeffrey Phillips</t>
  </si>
  <si>
    <t>Lisa Campbell</t>
  </si>
  <si>
    <t>Ryan Parker</t>
  </si>
  <si>
    <t>Jacob Evans</t>
  </si>
  <si>
    <t>Frank Edwards</t>
  </si>
  <si>
    <t>Gary Collins</t>
  </si>
  <si>
    <t>Nicholas Stewart</t>
  </si>
  <si>
    <t>Anna Sanchez</t>
  </si>
  <si>
    <t>Eric Morris</t>
  </si>
  <si>
    <t>Sandra Rogers</t>
  </si>
  <si>
    <t>Stephen Reed</t>
  </si>
  <si>
    <t>Emily Cook</t>
  </si>
  <si>
    <t>Ashley Morgan</t>
  </si>
  <si>
    <t>Jonathan Bell</t>
  </si>
  <si>
    <t>Kimberly Murphy</t>
  </si>
  <si>
    <t>Donna Bailey</t>
  </si>
  <si>
    <t>Ruth Rivera</t>
  </si>
  <si>
    <t>Carol Cooper</t>
  </si>
  <si>
    <t>Michelle Richardson</t>
  </si>
  <si>
    <t>Larry Cox</t>
  </si>
  <si>
    <t>Laura Howard</t>
  </si>
  <si>
    <t>Amanda Ward</t>
  </si>
  <si>
    <t>Justin Torres</t>
  </si>
  <si>
    <t>Raymond Peterson</t>
  </si>
  <si>
    <t>Scott Gray</t>
  </si>
  <si>
    <t>Samuel Ramirez</t>
  </si>
  <si>
    <t>Brandon James</t>
  </si>
  <si>
    <t>Melissa Watson</t>
  </si>
  <si>
    <t>Benjamin Brooks</t>
  </si>
  <si>
    <t>Rebecca Kelly</t>
  </si>
  <si>
    <t>Deborah Sanders</t>
  </si>
  <si>
    <t>Stephanie Price</t>
  </si>
  <si>
    <t>Sharon Bennett</t>
  </si>
  <si>
    <t>Kathleen Wood</t>
  </si>
  <si>
    <t>Cynthia Barnes</t>
  </si>
  <si>
    <t>Gregory Ross</t>
  </si>
  <si>
    <t>Jack Henderson</t>
  </si>
  <si>
    <t>Amy Coleman</t>
  </si>
  <si>
    <t>Henry Jenkins</t>
  </si>
  <si>
    <t>Shirley Perry</t>
  </si>
  <si>
    <t>Patrick Powell</t>
  </si>
  <si>
    <t>Alexander Long</t>
  </si>
  <si>
    <t>Emma Patterson</t>
  </si>
  <si>
    <t>Angela Hughes</t>
  </si>
  <si>
    <t>Catherine Flores</t>
  </si>
  <si>
    <t>Virginia Washington</t>
  </si>
  <si>
    <t>Katherine Butler</t>
  </si>
  <si>
    <t>Walter Simmons</t>
  </si>
  <si>
    <t>Dennis Foster</t>
  </si>
  <si>
    <t>Jerry Gonzales</t>
  </si>
  <si>
    <t>Brenda Bryant</t>
  </si>
  <si>
    <t>Pamela Alexander</t>
  </si>
  <si>
    <t>Frances Russell</t>
  </si>
  <si>
    <t>Tyler Griffin</t>
  </si>
  <si>
    <t>Nicole Diaz</t>
  </si>
  <si>
    <t>Christine Hayes</t>
  </si>
  <si>
    <t>Aaron Myers</t>
  </si>
  <si>
    <t>Peter Ford</t>
  </si>
  <si>
    <t>Samantha Hamilton</t>
  </si>
  <si>
    <t>Evelyn Graham</t>
  </si>
  <si>
    <t>Jose Sullivan</t>
  </si>
  <si>
    <t>Rachel Wallace</t>
  </si>
  <si>
    <t>Alice Woods</t>
  </si>
  <si>
    <t>Douglas Cole</t>
  </si>
  <si>
    <t>Janet West</t>
  </si>
  <si>
    <t>Carolyn Jordan</t>
  </si>
  <si>
    <t>Adam Owens</t>
  </si>
  <si>
    <t>Debra Reynolds</t>
  </si>
  <si>
    <t>Harold Fisher</t>
  </si>
  <si>
    <t>Nathan Ellis</t>
  </si>
  <si>
    <t>Martha Harrison</t>
  </si>
  <si>
    <t>Maria Gibson</t>
  </si>
  <si>
    <t>Marie Mcdonald</t>
  </si>
  <si>
    <t>Zachary Cruz</t>
  </si>
  <si>
    <t>Arthur Marshall</t>
  </si>
  <si>
    <t>Heather Ortiz</t>
  </si>
  <si>
    <t>Diane Gomez</t>
  </si>
  <si>
    <t>Julie Murray</t>
  </si>
  <si>
    <t>Joyce Freeman</t>
  </si>
  <si>
    <t>Carl Wells</t>
  </si>
  <si>
    <t>Grace Webb</t>
  </si>
  <si>
    <t>Victoria Simpson</t>
  </si>
  <si>
    <t>Albert Stevens</t>
  </si>
  <si>
    <t>Rose Tucker</t>
  </si>
  <si>
    <t>Joan Porter</t>
  </si>
  <si>
    <t>Kyle Hunter</t>
  </si>
  <si>
    <t>Christina Hicks</t>
  </si>
  <si>
    <t>Kelly Crawford</t>
  </si>
  <si>
    <t>Ann Henry</t>
  </si>
  <si>
    <t>Lauren Boyd</t>
  </si>
  <si>
    <t>Doris Mason</t>
  </si>
  <si>
    <t>Julia Morales</t>
  </si>
  <si>
    <t>Jean Kennedy</t>
  </si>
  <si>
    <t>Lawrence Warren</t>
  </si>
  <si>
    <t>Judith Dixon</t>
  </si>
  <si>
    <t>Olivia Ramos</t>
  </si>
  <si>
    <t>Kathryn Reyes</t>
  </si>
  <si>
    <t>Joe Burns</t>
  </si>
  <si>
    <t>Mildred Gordon</t>
  </si>
  <si>
    <t>Willie Shaw</t>
  </si>
  <si>
    <t>Gerald Holmes</t>
  </si>
  <si>
    <t>Lillian Rice</t>
  </si>
  <si>
    <t>Roger Robertson</t>
  </si>
  <si>
    <t>Cheryl Hunt</t>
  </si>
  <si>
    <t>Megan Black</t>
  </si>
  <si>
    <t>Jeremy Daniels</t>
  </si>
  <si>
    <t>Keith Palmer</t>
  </si>
  <si>
    <t>Hannah Mills</t>
  </si>
  <si>
    <t>Andrea Nichols</t>
  </si>
  <si>
    <t>Ethan Grant</t>
  </si>
  <si>
    <t>Sara Knight</t>
  </si>
  <si>
    <t>Terry Ferguson</t>
  </si>
  <si>
    <t>Jacqueline Rose</t>
  </si>
  <si>
    <t>Christian Stone</t>
  </si>
  <si>
    <t>Harry Hawkins</t>
  </si>
  <si>
    <t>Jesse Dunn</t>
  </si>
  <si>
    <t>Sean Perkins</t>
  </si>
  <si>
    <t>Teresa Hudson</t>
  </si>
  <si>
    <t>Ralph Spencer</t>
  </si>
  <si>
    <t>Austin Gardner</t>
  </si>
  <si>
    <t>Gloria Stephens</t>
  </si>
  <si>
    <t>Janice Payne</t>
  </si>
  <si>
    <t>Roy Pierce</t>
  </si>
  <si>
    <t>Theresa Berry</t>
  </si>
  <si>
    <t>Louis Matthews</t>
  </si>
  <si>
    <t>Noah Arnold</t>
  </si>
  <si>
    <t>Bruce Wagner</t>
  </si>
  <si>
    <t>Billy Willis</t>
  </si>
  <si>
    <t>Judy Ray</t>
  </si>
  <si>
    <t>Bryan Watkins</t>
  </si>
  <si>
    <t>Madison Olson</t>
  </si>
  <si>
    <t>Eugene Carroll</t>
  </si>
  <si>
    <t>Beverly Duncan</t>
  </si>
  <si>
    <t>Jordan Snyder</t>
  </si>
  <si>
    <t>Denise Hart</t>
  </si>
  <si>
    <t>Jane Cunningham</t>
  </si>
  <si>
    <t>Marilyn Bradley</t>
  </si>
  <si>
    <t>Amber Lane</t>
  </si>
  <si>
    <t>Dylan Andrews</t>
  </si>
  <si>
    <t>Danielle Ruiz</t>
  </si>
  <si>
    <t>Abigail Harper</t>
  </si>
  <si>
    <t>Charlotte Fox</t>
  </si>
  <si>
    <t>Diana Riley</t>
  </si>
  <si>
    <t>Brittany Armstrong</t>
  </si>
  <si>
    <t>Russell Carpenter</t>
  </si>
  <si>
    <t>Natalie Weaver</t>
  </si>
  <si>
    <t>Wayne Greene</t>
  </si>
  <si>
    <t>Irene Lawrence</t>
  </si>
  <si>
    <t>Ruby Elliott</t>
  </si>
  <si>
    <t>Annie Chavez</t>
  </si>
  <si>
    <t>Sophia Sims</t>
  </si>
  <si>
    <t>Alan Austin</t>
  </si>
  <si>
    <t>Juan Peters</t>
  </si>
  <si>
    <t>Gabriel Kelley</t>
  </si>
  <si>
    <t>Howard Franklin</t>
  </si>
  <si>
    <t>Fred Lawson</t>
  </si>
  <si>
    <t>Vincent Fields</t>
  </si>
  <si>
    <t>Lori Gutierrez</t>
  </si>
  <si>
    <t>Philip Ryan</t>
  </si>
  <si>
    <t>Kayla Schmidt</t>
  </si>
  <si>
    <t>Alexis Carr</t>
  </si>
  <si>
    <t>Tiffany Vasquez</t>
  </si>
  <si>
    <t>Florence Castillo</t>
  </si>
  <si>
    <t>Isabella Wheeler</t>
  </si>
  <si>
    <t>Kathy Chapman</t>
  </si>
  <si>
    <t>Louise Oliver</t>
  </si>
  <si>
    <t>Logan Montgomery</t>
  </si>
  <si>
    <t>Lois Richards</t>
  </si>
  <si>
    <t>Tammy Williamson</t>
  </si>
  <si>
    <t>Crystal Johnston</t>
  </si>
  <si>
    <t>Randy Banks</t>
  </si>
  <si>
    <t>Bonnie Meyer</t>
  </si>
  <si>
    <t>Phyllis Bishop</t>
  </si>
  <si>
    <t>Anne Mccoy</t>
  </si>
  <si>
    <t>Taylor Howell</t>
  </si>
  <si>
    <t>Victor Alvarez</t>
  </si>
  <si>
    <t>Bobby Morrison</t>
  </si>
  <si>
    <t>Erin Hansen</t>
  </si>
  <si>
    <t>Johnny Fernandez</t>
  </si>
  <si>
    <t>Phillip Garza</t>
  </si>
  <si>
    <t>Martin Harvey</t>
  </si>
  <si>
    <t>Josephine Little</t>
  </si>
  <si>
    <t>Alyssa Burton</t>
  </si>
  <si>
    <t>Bradley Stanley</t>
  </si>
  <si>
    <t>Ella Nguyen</t>
  </si>
  <si>
    <t>Shawn George</t>
  </si>
  <si>
    <t>Clarence Jacobs</t>
  </si>
  <si>
    <t>Travis Reid</t>
  </si>
  <si>
    <t>Ernest Kim</t>
  </si>
  <si>
    <t>Stanley Fuller</t>
  </si>
  <si>
    <t>Allison Lynch</t>
  </si>
  <si>
    <t>Craig Dean</t>
  </si>
  <si>
    <t>Shannon Gilbert</t>
  </si>
  <si>
    <t>Elijah Garrett</t>
  </si>
  <si>
    <t>Edna Romero</t>
  </si>
  <si>
    <t>Peggy Welch</t>
  </si>
  <si>
    <t>Tina Larson</t>
  </si>
  <si>
    <t>Leonard Frazier</t>
  </si>
  <si>
    <t>Robin Burke</t>
  </si>
  <si>
    <t>Dawn Hanson</t>
  </si>
  <si>
    <t>Carlos Day</t>
  </si>
  <si>
    <t>Earl Mendoza</t>
  </si>
  <si>
    <t>Eleanor Moreno</t>
  </si>
  <si>
    <t>Jimmy Bowman</t>
  </si>
  <si>
    <t>Francis Medina</t>
  </si>
  <si>
    <t>Cody Fowler</t>
  </si>
  <si>
    <t>Caleb Brewer</t>
  </si>
  <si>
    <t>Mason Hoffman</t>
  </si>
  <si>
    <t>Rita Carlson</t>
  </si>
  <si>
    <t>Danny Silva</t>
  </si>
  <si>
    <t>Isaac Pearson</t>
  </si>
  <si>
    <t>Audrey Holland</t>
  </si>
  <si>
    <t>Todd Douglas</t>
  </si>
  <si>
    <t>Wanda Fleming</t>
  </si>
  <si>
    <t>Clara Jensen</t>
  </si>
  <si>
    <t>Ethel Vargas</t>
  </si>
  <si>
    <t>Paula Byrd</t>
  </si>
  <si>
    <t>Cameron Davidson</t>
  </si>
  <si>
    <t>Norma Hopkins</t>
  </si>
  <si>
    <t>Dale May</t>
  </si>
  <si>
    <t>Ellen Terry</t>
  </si>
  <si>
    <t>Luis Herrera</t>
  </si>
  <si>
    <t>Alex Wade</t>
  </si>
  <si>
    <t>Marjorie Soto</t>
  </si>
  <si>
    <t>Luke Walters</t>
  </si>
  <si>
    <t>Jamie Curtis</t>
  </si>
  <si>
    <t>Nathaniel Neal</t>
  </si>
  <si>
    <t>Allen Caldwell</t>
  </si>
  <si>
    <t>Leslie Lowe</t>
  </si>
  <si>
    <t>Joel Jennings</t>
  </si>
  <si>
    <t>Evan Barnett</t>
  </si>
  <si>
    <t>Edith Graves</t>
  </si>
  <si>
    <t>Connie Jimenez</t>
  </si>
  <si>
    <t>Eva Horton</t>
  </si>
  <si>
    <t>Gladys Shelton</t>
  </si>
  <si>
    <t>Carrie Barrett</t>
  </si>
  <si>
    <t>Ava Obrien</t>
  </si>
  <si>
    <t>Frederick Castro</t>
  </si>
  <si>
    <t>Wendy Sutton</t>
  </si>
  <si>
    <t>Hazel Gregory</t>
  </si>
  <si>
    <t>Valerie Mckinney</t>
  </si>
  <si>
    <t>Curtis Lucas</t>
  </si>
  <si>
    <t>Elaine Miles</t>
  </si>
  <si>
    <t>Courtney Craig</t>
  </si>
  <si>
    <t>Esther Rodriquez</t>
  </si>
  <si>
    <t>Cindy Chambers</t>
  </si>
  <si>
    <t>Vanessa Holt</t>
  </si>
  <si>
    <t>Brianna Lambert</t>
  </si>
  <si>
    <t>Lucas Fletcher</t>
  </si>
  <si>
    <t>Norman Watts</t>
  </si>
  <si>
    <t>Marvin Bates</t>
  </si>
  <si>
    <t>Tracy Hale</t>
  </si>
  <si>
    <t>Tony Rhodes</t>
  </si>
  <si>
    <t>Monica Pena</t>
  </si>
  <si>
    <t>Antonio Beck</t>
  </si>
  <si>
    <t>Glenn Newman</t>
  </si>
  <si>
    <t>Melanie Haynes</t>
  </si>
  <si>
    <t>Jasmine Mcdaniel</t>
  </si>
  <si>
    <t>Rodney Mendez</t>
  </si>
  <si>
    <t>Theodore Bush</t>
  </si>
  <si>
    <t>Melvin Vaughn</t>
  </si>
  <si>
    <t>Alfred Parks</t>
  </si>
  <si>
    <t>Edwin Dawson</t>
  </si>
  <si>
    <t>Steve Santiago</t>
  </si>
  <si>
    <t>Chad Norris</t>
  </si>
  <si>
    <t>Sylvia Hardy</t>
  </si>
  <si>
    <t>Jackson Love</t>
  </si>
  <si>
    <t>April Steele</t>
  </si>
  <si>
    <t>Sheila Curry</t>
  </si>
  <si>
    <t>Adrian Powers</t>
  </si>
  <si>
    <t>Katie Schultz</t>
  </si>
  <si>
    <t>Hunter Barker</t>
  </si>
  <si>
    <t>Alexandra Guzman</t>
  </si>
  <si>
    <t>Angel Page</t>
  </si>
  <si>
    <t>Lee Munoz</t>
  </si>
  <si>
    <t>Marcus Ball</t>
  </si>
  <si>
    <t>Derek Keller</t>
  </si>
  <si>
    <t>Erica Chandler</t>
  </si>
  <si>
    <t>Sherry Weber</t>
  </si>
  <si>
    <t>Jeffery Leonard</t>
  </si>
  <si>
    <t>Mia Walsh</t>
  </si>
  <si>
    <t>Caroline Lyons</t>
  </si>
  <si>
    <t>Jesus Ramsey</t>
  </si>
  <si>
    <t>Herbert Wolfe</t>
  </si>
  <si>
    <t>Ian Schneider</t>
  </si>
  <si>
    <t>Leah Mullins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</si>
  <si>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</si>
  <si>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</si>
  <si>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</si>
  <si>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</si>
  <si>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</si>
  <si>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</si>
  <si>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</si>
  <si>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</si>
  <si>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Total general</t>
  </si>
  <si>
    <t>Mes de Registro</t>
  </si>
  <si>
    <t>Nuevos Clientes</t>
  </si>
  <si>
    <t xml:space="preserve">04/2019 </t>
  </si>
  <si>
    <t xml:space="preserve">05/2019 </t>
  </si>
  <si>
    <t xml:space="preserve">06/2019 </t>
  </si>
  <si>
    <t xml:space="preserve">07/2019 </t>
  </si>
  <si>
    <t xml:space="preserve">08/2019 </t>
  </si>
  <si>
    <t xml:space="preserve">09/2019 </t>
  </si>
  <si>
    <t xml:space="preserve">10/2019 </t>
  </si>
  <si>
    <t xml:space="preserve">11/2019 </t>
  </si>
  <si>
    <t xml:space="preserve">12/2019 </t>
  </si>
  <si>
    <t xml:space="preserve">01/2020 </t>
  </si>
  <si>
    <t xml:space="preserve">02/2020 </t>
  </si>
  <si>
    <t xml:space="preserve">03/2020 </t>
  </si>
  <si>
    <t xml:space="preserve">04/2020 </t>
  </si>
  <si>
    <t>05/2020</t>
  </si>
  <si>
    <t>06/2020</t>
  </si>
  <si>
    <t>07/2020</t>
  </si>
  <si>
    <t>08/2020</t>
  </si>
  <si>
    <t>09/2020</t>
  </si>
  <si>
    <t xml:space="preserve">10/2020 </t>
  </si>
  <si>
    <t xml:space="preserve">11/2020 </t>
  </si>
  <si>
    <t xml:space="preserve">12/2020 </t>
  </si>
  <si>
    <t xml:space="preserve">03/2019 </t>
  </si>
  <si>
    <t xml:space="preserve">02/2019 </t>
  </si>
  <si>
    <t xml:space="preserve">01/2019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</si>
  <si>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</si>
  <si>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</si>
  <si>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</si>
  <si>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</si>
  <si>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</si>
  <si>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</si>
  <si>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</si>
  <si>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</si>
  <si>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</si>
  <si>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</si>
  <si>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</si>
  <si>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</si>
  <si>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</si>
  <si>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</si>
  <si>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</si>
  <si>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</si>
  <si>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</si>
  <si>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</si>
  <si>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</si>
  <si>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</si>
  <si>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</si>
  <si>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</si>
  <si>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</si>
  <si>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</si>
  <si>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(en blanco)</t>
  </si>
  <si>
    <t>Cuenta de Cliente</t>
  </si>
  <si>
    <t>registro_trimes</t>
  </si>
  <si>
    <t>churn_trimes</t>
  </si>
  <si>
    <t>Validacion_churn</t>
  </si>
  <si>
    <t>valido</t>
  </si>
  <si>
    <t>invalido</t>
  </si>
  <si>
    <t>Trimestre de registro</t>
  </si>
  <si>
    <t>Trimestre de abandono</t>
  </si>
  <si>
    <t>Registro Inicial</t>
  </si>
  <si>
    <t>Trimestre de Registro</t>
  </si>
  <si>
    <t>Total Nuevos Clientes</t>
  </si>
  <si>
    <t>Trimestre 1</t>
  </si>
  <si>
    <t>Trimestre 2</t>
  </si>
  <si>
    <t xml:space="preserve">Trimestre 3 </t>
  </si>
  <si>
    <t>Trimestre 4</t>
  </si>
  <si>
    <t>Trimestre 5</t>
  </si>
  <si>
    <t>Trimestre 6</t>
  </si>
  <si>
    <t>Trimestre 7</t>
  </si>
  <si>
    <t>Trimestre 8</t>
  </si>
  <si>
    <t>Promedio de Cohortes Observadas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</si>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</sst>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yyyy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2"/>
        <bgColor theme="4" tint="0.79998168889431442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indexed="64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theme="9"/>
      </top>
      <bottom style="thin">
        <color indexed="64"/>
      </bottom>
      <diagonal/>
    </border>
    <border>
      <left style="thin">
        <color indexed="64"/>
      </left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6" borderId="0" applyNumberFormat="0" applyBorder="0" applyAlignment="0" applyProtection="0"/>
  </cellStyleXfs>
  <cellXfs count="93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NumberFormat="1" applyFont="1"/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2" borderId="4" xfId="0" applyNumberFormat="1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2" borderId="10" xfId="0" applyNumberFormat="1" applyFont="1" applyFill="1" applyBorder="1" applyAlignment="1">
      <alignment horizontal="center"/>
    </xf>
    <xf numFmtId="0" fontId="0" fillId="2" borderId="9" xfId="0" applyNumberFormat="1" applyFont="1" applyFill="1" applyBorder="1"/>
    <xf numFmtId="0" fontId="0" fillId="2" borderId="11" xfId="0" applyNumberFormat="1" applyFont="1" applyFill="1" applyBorder="1"/>
    <xf numFmtId="0" fontId="0" fillId="0" borderId="7" xfId="0" applyNumberFormat="1" applyFont="1" applyBorder="1" applyAlignment="1">
      <alignment horizontal="center"/>
    </xf>
    <xf numFmtId="0" fontId="0" fillId="0" borderId="7" xfId="0" applyNumberFormat="1" applyFont="1" applyBorder="1"/>
    <xf numFmtId="0" fontId="0" fillId="0" borderId="5" xfId="0" applyNumberFormat="1" applyFont="1" applyBorder="1"/>
    <xf numFmtId="0" fontId="0" fillId="0" borderId="8" xfId="0" applyNumberFormat="1" applyFont="1" applyBorder="1"/>
    <xf numFmtId="0" fontId="0" fillId="2" borderId="7" xfId="0" applyNumberFormat="1" applyFont="1" applyFill="1" applyBorder="1" applyAlignment="1">
      <alignment horizontal="center"/>
    </xf>
    <xf numFmtId="0" fontId="0" fillId="2" borderId="7" xfId="0" applyNumberFormat="1" applyFont="1" applyFill="1" applyBorder="1"/>
    <xf numFmtId="0" fontId="0" fillId="2" borderId="5" xfId="0" applyNumberFormat="1" applyFont="1" applyFill="1" applyBorder="1"/>
    <xf numFmtId="0" fontId="0" fillId="2" borderId="8" xfId="0" applyNumberFormat="1" applyFont="1" applyFill="1" applyBorder="1"/>
    <xf numFmtId="0" fontId="0" fillId="2" borderId="13" xfId="0" applyNumberFormat="1" applyFont="1" applyFill="1" applyBorder="1" applyAlignment="1">
      <alignment horizontal="center"/>
    </xf>
    <xf numFmtId="0" fontId="0" fillId="2" borderId="14" xfId="0" applyNumberFormat="1" applyFont="1" applyFill="1" applyBorder="1"/>
    <xf numFmtId="0" fontId="0" fillId="2" borderId="12" xfId="0" applyNumberFormat="1" applyFont="1" applyFill="1" applyBorder="1"/>
    <xf numFmtId="164" fontId="0" fillId="2" borderId="9" xfId="0" applyNumberFormat="1" applyFont="1" applyFill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164" fontId="0" fillId="2" borderId="5" xfId="0" applyNumberFormat="1" applyFont="1" applyFill="1" applyBorder="1" applyAlignment="1">
      <alignment horizontal="center"/>
    </xf>
    <xf numFmtId="164" fontId="0" fillId="2" borderId="12" xfId="0" applyNumberFormat="1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8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2" fillId="3" borderId="19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4" fontId="0" fillId="0" borderId="20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10" fontId="0" fillId="0" borderId="23" xfId="1" applyNumberFormat="1" applyFont="1" applyBorder="1"/>
    <xf numFmtId="10" fontId="0" fillId="0" borderId="6" xfId="1" applyNumberFormat="1" applyFont="1" applyBorder="1"/>
    <xf numFmtId="10" fontId="0" fillId="0" borderId="17" xfId="1" applyNumberFormat="1" applyFont="1" applyBorder="1"/>
    <xf numFmtId="10" fontId="0" fillId="0" borderId="16" xfId="1" applyNumberFormat="1" applyFont="1" applyBorder="1"/>
    <xf numFmtId="10" fontId="0" fillId="0" borderId="20" xfId="1" applyNumberFormat="1" applyFont="1" applyBorder="1"/>
    <xf numFmtId="10" fontId="0" fillId="0" borderId="0" xfId="1" applyNumberFormat="1" applyFont="1" applyBorder="1"/>
    <xf numFmtId="10" fontId="0" fillId="0" borderId="2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left" vertical="center"/>
    </xf>
    <xf numFmtId="0" fontId="6" fillId="8" borderId="19" xfId="2" applyFont="1" applyFill="1" applyBorder="1"/>
    <xf numFmtId="0" fontId="6" fillId="8" borderId="25" xfId="2" applyFont="1" applyFill="1" applyBorder="1"/>
    <xf numFmtId="0" fontId="0" fillId="0" borderId="20" xfId="0" applyBorder="1"/>
    <xf numFmtId="0" fontId="0" fillId="0" borderId="21" xfId="0" applyBorder="1"/>
    <xf numFmtId="0" fontId="2" fillId="7" borderId="26" xfId="0" applyNumberFormat="1" applyFont="1" applyFill="1" applyBorder="1"/>
    <xf numFmtId="0" fontId="2" fillId="7" borderId="27" xfId="0" applyNumberFormat="1" applyFont="1" applyFill="1" applyBorder="1"/>
    <xf numFmtId="0" fontId="2" fillId="7" borderId="28" xfId="0" applyNumberFormat="1" applyFont="1" applyFill="1" applyBorder="1"/>
    <xf numFmtId="0" fontId="6" fillId="8" borderId="15" xfId="2" applyFont="1" applyFill="1" applyBorder="1"/>
    <xf numFmtId="0" fontId="0" fillId="0" borderId="2" xfId="0" applyBorder="1" applyAlignment="1">
      <alignment horizontal="left"/>
    </xf>
    <xf numFmtId="0" fontId="2" fillId="7" borderId="24" xfId="0" applyFont="1" applyFill="1" applyBorder="1" applyAlignment="1">
      <alignment horizontal="left"/>
    </xf>
    <xf numFmtId="0" fontId="6" fillId="9" borderId="15" xfId="2" applyFont="1" applyFill="1" applyBorder="1"/>
    <xf numFmtId="0" fontId="6" fillId="8" borderId="1" xfId="2" applyFont="1" applyFill="1" applyBorder="1"/>
    <xf numFmtId="0" fontId="0" fillId="0" borderId="2" xfId="0" applyBorder="1"/>
    <xf numFmtId="165" fontId="0" fillId="0" borderId="20" xfId="1" applyNumberFormat="1" applyFont="1" applyBorder="1"/>
    <xf numFmtId="165" fontId="0" fillId="0" borderId="6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2" fillId="10" borderId="26" xfId="0" applyNumberFormat="1" applyFont="1" applyFill="1" applyBorder="1"/>
    <xf numFmtId="0" fontId="6" fillId="9" borderId="6" xfId="2" applyFont="1" applyFill="1" applyBorder="1"/>
    <xf numFmtId="0" fontId="6" fillId="9" borderId="17" xfId="2" applyFont="1" applyFill="1" applyBorder="1"/>
    <xf numFmtId="0" fontId="6" fillId="9" borderId="16" xfId="2" applyFont="1" applyFill="1" applyBorder="1"/>
    <xf numFmtId="0" fontId="2" fillId="11" borderId="24" xfId="0" applyFont="1" applyFill="1" applyBorder="1" applyAlignment="1">
      <alignment horizontal="left"/>
    </xf>
    <xf numFmtId="0" fontId="2" fillId="5" borderId="22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164" fontId="2" fillId="3" borderId="23" xfId="0" applyNumberFormat="1" applyFont="1" applyFill="1" applyBorder="1" applyAlignment="1">
      <alignment horizontal="center" wrapText="1"/>
    </xf>
    <xf numFmtId="164" fontId="2" fillId="3" borderId="30" xfId="0" applyNumberFormat="1" applyFont="1" applyFill="1" applyBorder="1" applyAlignment="1">
      <alignment horizontal="center" wrapText="1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  <xf numFmtId="165" fontId="2" fillId="10" borderId="24" xfId="0" applyNumberFormat="1" applyFont="1" applyFill="1" applyBorder="1"/>
    <xf numFmtId="10" fontId="0" fillId="0" borderId="18" xfId="1" applyNumberFormat="1" applyFont="1" applyBorder="1"/>
  </cellXfs>
  <cellStyles count="3">
    <cellStyle name="Bueno" xfId="2" builtinId="26"/>
    <cellStyle name="Normal" xfId="0" builtinId="0"/>
    <cellStyle name="Porcentaje" xfId="1" builtinId="5"/>
  </cellStyles>
  <dxfs count="109">
    <dxf>
      <alignment wrapText="1" readingOrder="0"/>
    </dxf>
    <dxf>
      <alignment vertic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</dxf>
    <dxf>
      <numFmt numFmtId="19" formatCode="d/mm/yyyy"/>
    </dxf>
    <dxf>
      <numFmt numFmtId="164" formatCode="mm/yyyy"/>
      <alignment horizontal="left" readingOrder="0"/>
    </dxf>
    <dxf>
      <numFmt numFmtId="19" formatCode="d/mm/yyyy"/>
    </dxf>
    <dxf>
      <numFmt numFmtId="19" formatCode="d/mm/yyyy"/>
    </dxf>
    <dxf>
      <numFmt numFmtId="19" formatCode="d/mm/yyyy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</dxf>
    <dxf>
      <numFmt numFmtId="19" formatCode="d/mm/yyyy"/>
    </dxf>
    <dxf>
      <numFmt numFmtId="164" formatCode="mm/yyyy"/>
      <alignment horizontal="left" readingOrder="0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64" formatCode="mm/yyyy"/>
      <alignment horizontal="left" readingOrder="0"/>
    </dxf>
    <dxf>
      <numFmt numFmtId="19" formatCode="d/mm/yyyy"/>
    </dxf>
    <dxf>
      <numFmt numFmtId="22" formatCode="mmm\-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/yyyy"/>
    </dxf>
    <dxf>
      <numFmt numFmtId="164" formatCode="mm/yyyy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briela Cadillo Gonzales" refreshedDate="46267.785280671298" createdVersion="6" refreshedVersion="6" minRefreshableVersion="3" recordCount="330">
  <cacheSource type="worksheet">
    <worksheetSource name="retencion_por_trimestre"/>
  </cacheSource>
  <cacheFields count="17">
    <cacheField name="Cliente" numFmtId="0">
      <sharedItems count="330">
        <s v="George Garcia"/>
        <s v="James Johnson"/>
        <s v="John Williams"/>
        <s v="Robert Jones"/>
        <s v="Michael Brown"/>
        <s v="Mary Davis"/>
        <s v="William Miller"/>
        <s v="David Wilson"/>
        <s v="Joseph Moore"/>
        <s v="Richard Taylor"/>
        <s v="Charles Anderson"/>
        <s v="Thomas Thomas"/>
        <s v="Christopher Jackson"/>
        <s v="Daniel White"/>
        <s v="Elizabeth Harris"/>
        <s v="Matthew Martin"/>
        <s v="Patricia Thompson"/>
        <s v="Brian Smith"/>
        <s v="Jennifer Martinez"/>
        <s v="Linda Robinson"/>
        <s v="Anthony Clark"/>
        <s v="Barbara Rodriguez"/>
        <s v="Donald Lewis"/>
        <s v="Paul Lee"/>
        <s v="Mark Walker"/>
        <s v="Andrew Hall"/>
        <s v="Edward Allen"/>
        <s v="Steven Young"/>
        <s v="Kenneth Hernandez"/>
        <s v="Margaret King"/>
        <s v="Joshua Wright"/>
        <s v="Kevin Lopez"/>
        <s v="Brian Hill"/>
        <s v="Susan Scott"/>
        <s v="Dorothy Green"/>
        <s v="Ronald Adams"/>
        <s v="Sarah Baker"/>
        <s v="Timothy Gonzalez"/>
        <s v="Jessica Nelson"/>
        <s v="Jason Carter"/>
        <s v="Helen Mitchell"/>
        <s v="Nancy Perez"/>
        <s v="Betty Roberts"/>
        <s v="Karen Turner"/>
        <s v="Jeffrey Phillips"/>
        <s v="Lisa Campbell"/>
        <s v="Ryan Parker"/>
        <s v="Jacob Evans"/>
        <s v="Frank Edwards"/>
        <s v="Gary Collins"/>
        <s v="Nicholas Stewart"/>
        <s v="Anna Sanchez"/>
        <s v="Eric Morris"/>
        <s v="Sandra Rogers"/>
        <s v="Stephen Reed"/>
        <s v="Emily Cook"/>
        <s v="Ashley Morgan"/>
        <s v="Jonathan Bell"/>
        <s v="Kimberly Murphy"/>
        <s v="Donna Bailey"/>
        <s v="Ruth Rivera"/>
        <s v="Carol Cooper"/>
        <s v="Michelle Richardson"/>
        <s v="Larry Cox"/>
        <s v="Laura Howard"/>
        <s v="Amanda Ward"/>
        <s v="Justin Torres"/>
        <s v="Raymond Peterson"/>
        <s v="Scott Gray"/>
        <s v="Samuel Ramirez"/>
        <s v="Brandon James"/>
        <s v="Melissa Watson"/>
        <s v="Benjamin Brooks"/>
        <s v="Rebecca Kelly"/>
        <s v="Deborah Sanders"/>
        <s v="Stephanie Price"/>
        <s v="Sharon Bennett"/>
        <s v="Kathleen Wood"/>
        <s v="Cynthia Barnes"/>
        <s v="Gregory Ross"/>
        <s v="Jack Henderson"/>
        <s v="Amy Coleman"/>
        <s v="Henry Jenkins"/>
        <s v="Shirley Perry"/>
        <s v="Patrick Powell"/>
        <s v="Alexander Long"/>
        <s v="Emma Patterson"/>
        <s v="Angela Hughes"/>
        <s v="Catherine Flores"/>
        <s v="Virginia Washington"/>
        <s v="Katherine Butler"/>
        <s v="Walter Simmons"/>
        <s v="Dennis Foster"/>
        <s v="Jerry Gonzales"/>
        <s v="Brenda Bryant"/>
        <s v="Pamela Alexander"/>
        <s v="Frances Russell"/>
        <s v="Tyler Griffin"/>
        <s v="Nicole Diaz"/>
        <s v="Christine Hayes"/>
        <s v="Aaron Myers"/>
        <s v="Peter Ford"/>
        <s v="Samantha Hamilton"/>
        <s v="Evelyn Graham"/>
        <s v="Jose Sullivan"/>
        <s v="Rachel Wallace"/>
        <s v="Alice Woods"/>
        <s v="Douglas Cole"/>
        <s v="Janet West"/>
        <s v="Carolyn Jordan"/>
        <s v="Adam Owens"/>
        <s v="Debra Reynolds"/>
        <s v="Harold Fisher"/>
        <s v="Nathan Ellis"/>
        <s v="Martha Harrison"/>
        <s v="Maria Gibson"/>
        <s v="Marie Mcdonald"/>
        <s v="Zachary Cruz"/>
        <s v="Arthur Marshall"/>
        <s v="Heather Ortiz"/>
        <s v="Diane Gomez"/>
        <s v="Julie Murray"/>
        <s v="Joyce Freeman"/>
        <s v="Carl Wells"/>
        <s v="Grace Webb"/>
        <s v="Victoria Simpson"/>
        <s v="Albert Stevens"/>
        <s v="Rose Tucker"/>
        <s v="Joan Porter"/>
        <s v="Kyle Hunter"/>
        <s v="Christina Hicks"/>
        <s v="Kelly Crawford"/>
        <s v="Ann Henry"/>
        <s v="Lauren Boyd"/>
        <s v="Doris Mason"/>
        <s v="Julia Morales"/>
        <s v="Jean Kennedy"/>
        <s v="Lawrence Warren"/>
        <s v="Judith Dixon"/>
        <s v="Olivia Ramos"/>
        <s v="Kathryn Reyes"/>
        <s v="Joe Burns"/>
        <s v="Mildred Gordon"/>
        <s v="Willie Shaw"/>
        <s v="Gerald Holmes"/>
        <s v="Lillian Rice"/>
        <s v="Roger Robertson"/>
        <s v="Cheryl Hunt"/>
        <s v="Megan Black"/>
        <s v="Jeremy Daniels"/>
        <s v="Keith Palmer"/>
        <s v="Hannah Mills"/>
        <s v="Andrea Nichols"/>
        <s v="Ethan Grant"/>
        <s v="Sara Knight"/>
        <s v="Terry Ferguson"/>
        <s v="Jacqueline Rose"/>
        <s v="Christian Stone"/>
        <s v="Harry Hawkins"/>
        <s v="Jesse Dunn"/>
        <s v="Sean Perkins"/>
        <s v="Teresa Hudson"/>
        <s v="Ralph Spencer"/>
        <s v="Austin Gardner"/>
        <s v="Gloria Stephens"/>
        <s v="Janice Payne"/>
        <s v="Roy Pierce"/>
        <s v="Theresa Berry"/>
        <s v="Louis Matthews"/>
        <s v="Noah Arnold"/>
        <s v="Bruce Wagner"/>
        <s v="Billy Willis"/>
        <s v="Judy Ray"/>
        <s v="Bryan Watkins"/>
        <s v="Madison Olson"/>
        <s v="Eugene Carroll"/>
        <s v="Beverly Duncan"/>
        <s v="Jordan Snyder"/>
        <s v="Denise Hart"/>
        <s v="Jane Cunningham"/>
        <s v="Marilyn Bradley"/>
        <s v="Amber Lane"/>
        <s v="Dylan Andrews"/>
        <s v="Danielle Ruiz"/>
        <s v="Abigail Harper"/>
        <s v="Charlotte Fox"/>
        <s v="Diana Riley"/>
        <s v="Brittany Armstrong"/>
        <s v="Russell Carpenter"/>
        <s v="Natalie Weaver"/>
        <s v="Wayne Greene"/>
        <s v="Irene Lawrence"/>
        <s v="Ruby Elliott"/>
        <s v="Annie Chavez"/>
        <s v="Sophia Sims"/>
        <s v="Alan Austin"/>
        <s v="Juan Peters"/>
        <s v="Gabriel Kelley"/>
        <s v="Howard Franklin"/>
        <s v="Fred Lawson"/>
        <s v="Vincent Fields"/>
        <s v="Lori Gutierrez"/>
        <s v="Philip Ryan"/>
        <s v="Kayla Schmidt"/>
        <s v="Alexis Carr"/>
        <s v="Tiffany Vasquez"/>
        <s v="Florence Castillo"/>
        <s v="Isabella Wheeler"/>
        <s v="Kathy Chapman"/>
        <s v="Louise Oliver"/>
        <s v="Logan Montgomery"/>
        <s v="Lois Richards"/>
        <s v="Tammy Williamson"/>
        <s v="Crystal Johnston"/>
        <s v="Randy Banks"/>
        <s v="Bonnie Meyer"/>
        <s v="Phyllis Bishop"/>
        <s v="Anne Mccoy"/>
        <s v="Taylor Howell"/>
        <s v="Victor Alvarez"/>
        <s v="Bobby Morrison"/>
        <s v="Erin Hansen"/>
        <s v="Johnny Fernandez"/>
        <s v="Phillip Garza"/>
        <s v="Martin Harvey"/>
        <s v="Josephine Little"/>
        <s v="Alyssa Burton"/>
        <s v="Bradley Stanley"/>
        <s v="Ella Nguyen"/>
        <s v="Shawn George"/>
        <s v="Clarence Jacobs"/>
        <s v="Travis Reid"/>
        <s v="Ernest Kim"/>
        <s v="Stanley Fuller"/>
        <s v="Allison Lynch"/>
        <s v="Craig Dean"/>
        <s v="Shannon Gilbert"/>
        <s v="Elijah Garrett"/>
        <s v="Edna Romero"/>
        <s v="Peggy Welch"/>
        <s v="Tina Larson"/>
        <s v="Leonard Frazier"/>
        <s v="Robin Burke"/>
        <s v="Dawn Hanson"/>
        <s v="Carlos Day"/>
        <s v="Earl Mendoza"/>
        <s v="Eleanor Moreno"/>
        <s v="Jimmy Bowman"/>
        <s v="Francis Medina"/>
        <s v="Cody Fowler"/>
        <s v="Caleb Brewer"/>
        <s v="Mason Hoffman"/>
        <s v="Rita Carlson"/>
        <s v="Danny Silva"/>
        <s v="Isaac Pearson"/>
        <s v="Audrey Holland"/>
        <s v="Todd Douglas"/>
        <s v="Wanda Fleming"/>
        <s v="Clara Jensen"/>
        <s v="Ethel Vargas"/>
        <s v="Paula Byrd"/>
        <s v="Cameron Davidson"/>
        <s v="Norma Hopkins"/>
        <s v="Dale May"/>
        <s v="Ellen Terry"/>
        <s v="Luis Herrera"/>
        <s v="Alex Wade"/>
        <s v="Marjorie Soto"/>
        <s v="Luke Walters"/>
        <s v="Jamie Curtis"/>
        <s v="Nathaniel Neal"/>
        <s v="Allen Caldwell"/>
        <s v="Leslie Lowe"/>
        <s v="Joel Jennings"/>
        <s v="Evan Barnett"/>
        <s v="Edith Graves"/>
        <s v="Connie Jimenez"/>
        <s v="Eva Horton"/>
        <s v="Gladys Shelton"/>
        <s v="Carrie Barrett"/>
        <s v="Ava Obrien"/>
        <s v="Frederick Castro"/>
        <s v="Wendy Sutton"/>
        <s v="Hazel Gregory"/>
        <s v="Valerie Mckinney"/>
        <s v="Curtis Lucas"/>
        <s v="Elaine Miles"/>
        <s v="Courtney Craig"/>
        <s v="Esther Rodriquez"/>
        <s v="Cindy Chambers"/>
        <s v="Vanessa Holt"/>
        <s v="Brianna Lambert"/>
        <s v="Lucas Fletcher"/>
        <s v="Norman Watts"/>
        <s v="Marvin Bates"/>
        <s v="Tracy Hale"/>
        <s v="Tony Rhodes"/>
        <s v="Monica Pena"/>
        <s v="Antonio Beck"/>
        <s v="Glenn Newman"/>
        <s v="Melanie Haynes"/>
        <s v="Jasmine Mcdaniel"/>
        <s v="Rodney Mendez"/>
        <s v="Theodore Bush"/>
        <s v="Melvin Vaughn"/>
        <s v="Alfred Parks"/>
        <s v="Edwin Dawson"/>
        <s v="Steve Santiago"/>
        <s v="Chad Norris"/>
        <s v="Sylvia Hardy"/>
        <s v="Jackson Love"/>
        <s v="April Steele"/>
        <s v="Sheila Curry"/>
        <s v="Adrian Powers"/>
        <s v="Katie Schultz"/>
        <s v="Hunter Barker"/>
        <s v="Alexandra Guzman"/>
        <s v="Angel Page"/>
        <s v="Lee Munoz"/>
        <s v="Marcus Ball"/>
        <s v="Derek Keller"/>
        <s v="Erica Chandler"/>
        <s v="Sherry Weber"/>
        <s v="Jeffery Leonard"/>
        <s v="Mia Walsh"/>
        <s v="Caroline Lyons"/>
        <s v="Jesus Ramsey"/>
        <s v="Herbert Wolfe"/>
        <s v="Ian Schneider"/>
        <s v="Leah Mullins"/>
      </sharedItems>
    </cacheField>
    <cacheField name="Estado Cliente" numFmtId="0">
      <sharedItems count="2">
        <s v="Active"/>
        <s v="Churned"/>
      </sharedItems>
    </cacheField>
    <cacheField name="Mes Registro" numFmtId="14">
      <sharedItems containsSemiMixedTypes="0" containsNonDate="0" containsDate="1" containsString="0" minDate="2019-01-01T00:00:00" maxDate="2020-12-02T00:00:00" count="24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  <fieldGroup par="16" base="2">
        <rangePr groupBy="months" startDate="2019-01-01T00:00:00" endDate="2020-12-02T00:00:00"/>
        <groupItems count="14">
          <s v="&lt;1/01/2019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/12/2020"/>
        </groupItems>
      </fieldGroup>
    </cacheField>
    <cacheField name="Validacion_churn" numFmtId="0">
      <sharedItems count="2">
        <s v="valido"/>
        <s v="invalido"/>
      </sharedItems>
    </cacheField>
    <cacheField name="registro_trimes" numFmtId="0">
      <sharedItems count="8">
        <s v="2019-T1"/>
        <s v="2019-T2"/>
        <s v="2019-T3"/>
        <s v="2019-T4"/>
        <s v="2020-T1"/>
        <s v="2020-T2"/>
        <s v="2020-T3"/>
        <s v="2020-T4"/>
      </sharedItems>
    </cacheField>
    <cacheField name="Mes de Abandono (Churn)" numFmtId="14">
      <sharedItems containsNonDate="0" containsDate="1" containsString="0" containsBlank="1" minDate="2019-03-01T00:00:00" maxDate="2020-12-02T00:00:00"/>
    </cacheField>
    <cacheField name="churn_trimes" numFmtId="0">
      <sharedItems containsBlank="1" count="9">
        <m/>
        <s v="2019-T1"/>
        <s v="2019-T3"/>
        <s v="2020-T3"/>
        <s v="2019-T4"/>
        <s v="2019-T2"/>
        <s v="2020-T1"/>
        <s v="2020-T4"/>
        <s v="2020-T2"/>
      </sharedItems>
    </cacheField>
    <cacheField name="2019-T1" numFmtId="0">
      <sharedItems containsString="0" containsBlank="1" containsNumber="1" containsInteger="1" minValue="1" maxValue="1"/>
    </cacheField>
    <cacheField name="2019-T2" numFmtId="0">
      <sharedItems containsString="0" containsBlank="1" containsNumber="1" containsInteger="1" minValue="1" maxValue="1"/>
    </cacheField>
    <cacheField name="2019-T3" numFmtId="0">
      <sharedItems containsString="0" containsBlank="1" containsNumber="1" containsInteger="1" minValue="1" maxValue="1"/>
    </cacheField>
    <cacheField name="2019-T4" numFmtId="0">
      <sharedItems containsString="0" containsBlank="1" containsNumber="1" containsInteger="1" minValue="1" maxValue="1"/>
    </cacheField>
    <cacheField name="2020-T1" numFmtId="0">
      <sharedItems containsString="0" containsBlank="1" containsNumber="1" containsInteger="1" minValue="1" maxValue="1"/>
    </cacheField>
    <cacheField name="2020-T2" numFmtId="0">
      <sharedItems containsString="0" containsBlank="1" containsNumber="1" containsInteger="1" minValue="1" maxValue="1"/>
    </cacheField>
    <cacheField name="2020-T3" numFmtId="0">
      <sharedItems containsString="0" containsBlank="1" containsNumber="1" containsInteger="1" minValue="1" maxValue="1"/>
    </cacheField>
    <cacheField name="2020-T4" numFmtId="0">
      <sharedItems containsString="0" containsBlank="1" containsNumber="1" containsInteger="1" minValue="1" maxValue="1"/>
    </cacheField>
    <cacheField name="Trimestres" numFmtId="0" databaseField="0">
      <fieldGroup base="2">
        <rangePr groupBy="quarters" startDate="2019-01-01T00:00:00" endDate="2020-12-02T00:00:00"/>
        <groupItems count="6">
          <s v="&lt;1/01/2019"/>
          <s v="Trim.1"/>
          <s v="Trim.2"/>
          <s v="Trim.3"/>
          <s v="Trim.4"/>
          <s v="&gt;2/12/2020"/>
        </groupItems>
      </fieldGroup>
    </cacheField>
    <cacheField name="Años" numFmtId="0" databaseField="0">
      <fieldGroup base="2">
        <rangePr groupBy="years" startDate="2019-01-01T00:00:00" endDate="2020-12-02T00:00:00"/>
        <groupItems count="4">
          <s v="&lt;1/01/2019"/>
          <s v="2019"/>
          <s v="2020"/>
          <s v="&gt;2/1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abriela Cadillo Gonzales" refreshedDate="46273.513932291666" createdVersion="6" refreshedVersion="6" minRefreshableVersion="3" recordCount="330">
  <cacheSource type="worksheet">
    <worksheetSource name="retencion_por_mes"/>
  </cacheSource>
  <cacheFields count="28">
    <cacheField name="Cliente" numFmtId="0">
      <sharedItems/>
    </cacheField>
    <cacheField name="Estado Cliente" numFmtId="0">
      <sharedItems/>
    </cacheField>
    <cacheField name="Mes Registro" numFmtId="164">
      <sharedItems containsSemiMixedTypes="0" containsNonDate="0" containsDate="1" containsString="0" minDate="2019-01-01T00:00:00" maxDate="2020-12-02T00:00:00" count="24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</cacheField>
    <cacheField name="Mes de Abandono (Churn)" numFmtId="164">
      <sharedItems containsNonDate="0" containsDate="1" containsString="0" containsBlank="1" minDate="2019-03-01T00:00:00" maxDate="2020-12-02T00:00:00"/>
    </cacheField>
    <cacheField name="1/2019" numFmtId="0">
      <sharedItems containsSemiMixedTypes="0" containsString="0" containsNumber="1" containsInteger="1" minValue="0" maxValue="1"/>
    </cacheField>
    <cacheField name="2/2019" numFmtId="0">
      <sharedItems containsSemiMixedTypes="0" containsString="0" containsNumber="1" containsInteger="1" minValue="0" maxValue="1"/>
    </cacheField>
    <cacheField name="3/2019" numFmtId="0">
      <sharedItems containsSemiMixedTypes="0" containsString="0" containsNumber="1" containsInteger="1" minValue="0" maxValue="1"/>
    </cacheField>
    <cacheField name="4/2019" numFmtId="0">
      <sharedItems containsSemiMixedTypes="0" containsString="0" containsNumber="1" containsInteger="1" minValue="0" maxValue="1"/>
    </cacheField>
    <cacheField name="5/2019" numFmtId="0">
      <sharedItems containsSemiMixedTypes="0" containsString="0" containsNumber="1" containsInteger="1" minValue="0" maxValue="1"/>
    </cacheField>
    <cacheField name="6/2019" numFmtId="0">
      <sharedItems containsSemiMixedTypes="0" containsString="0" containsNumber="1" containsInteger="1" minValue="0" maxValue="1"/>
    </cacheField>
    <cacheField name="7/2019" numFmtId="0">
      <sharedItems containsSemiMixedTypes="0" containsString="0" containsNumber="1" containsInteger="1" minValue="0" maxValue="1"/>
    </cacheField>
    <cacheField name="8/2019" numFmtId="0">
      <sharedItems containsSemiMixedTypes="0" containsString="0" containsNumber="1" containsInteger="1" minValue="0" maxValue="1"/>
    </cacheField>
    <cacheField name="9/2019" numFmtId="0">
      <sharedItems containsSemiMixedTypes="0" containsString="0" containsNumber="1" containsInteger="1" minValue="0" maxValue="1"/>
    </cacheField>
    <cacheField name="10/2019" numFmtId="0">
      <sharedItems containsSemiMixedTypes="0" containsString="0" containsNumber="1" containsInteger="1" minValue="0" maxValue="1"/>
    </cacheField>
    <cacheField name="11/2019" numFmtId="0">
      <sharedItems containsSemiMixedTypes="0" containsString="0" containsNumber="1" containsInteger="1" minValue="0" maxValue="1"/>
    </cacheField>
    <cacheField name="12/2019" numFmtId="0">
      <sharedItems containsSemiMixedTypes="0" containsString="0" containsNumber="1" containsInteger="1" minValue="0" maxValue="1"/>
    </cacheField>
    <cacheField name="1/2020" numFmtId="0">
      <sharedItems containsSemiMixedTypes="0" containsString="0" containsNumber="1" containsInteger="1" minValue="0" maxValue="1"/>
    </cacheField>
    <cacheField name="2/2020" numFmtId="0">
      <sharedItems containsSemiMixedTypes="0" containsString="0" containsNumber="1" containsInteger="1" minValue="0" maxValue="1"/>
    </cacheField>
    <cacheField name="3/2020" numFmtId="0">
      <sharedItems containsSemiMixedTypes="0" containsString="0" containsNumber="1" containsInteger="1" minValue="0" maxValue="1"/>
    </cacheField>
    <cacheField name="4/2020" numFmtId="0">
      <sharedItems containsSemiMixedTypes="0" containsString="0" containsNumber="1" containsInteger="1" minValue="0" maxValue="1"/>
    </cacheField>
    <cacheField name="5/2020" numFmtId="0">
      <sharedItems containsSemiMixedTypes="0" containsString="0" containsNumber="1" containsInteger="1" minValue="0" maxValue="1"/>
    </cacheField>
    <cacheField name="6/2020" numFmtId="0">
      <sharedItems containsSemiMixedTypes="0" containsString="0" containsNumber="1" containsInteger="1" minValue="0" maxValue="1"/>
    </cacheField>
    <cacheField name="7/2020" numFmtId="0">
      <sharedItems containsSemiMixedTypes="0" containsString="0" containsNumber="1" containsInteger="1" minValue="0" maxValue="1"/>
    </cacheField>
    <cacheField name="8/2020" numFmtId="0">
      <sharedItems containsSemiMixedTypes="0" containsString="0" containsNumber="1" containsInteger="1" minValue="0" maxValue="1"/>
    </cacheField>
    <cacheField name="9/2020" numFmtId="0">
      <sharedItems containsSemiMixedTypes="0" containsString="0" containsNumber="1" containsInteger="1" minValue="0" maxValue="1"/>
    </cacheField>
    <cacheField name="10/2020" numFmtId="0">
      <sharedItems containsSemiMixedTypes="0" containsString="0" containsNumber="1" containsInteger="1" minValue="0" maxValue="1"/>
    </cacheField>
    <cacheField name="11/2020" numFmtId="0">
      <sharedItems containsSemiMixedTypes="0" containsString="0" containsNumber="1" containsInteger="1" minValue="0" maxValue="1"/>
    </cacheField>
    <cacheField name="12/202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0">
  <r>
    <x v="0"/>
    <x v="0"/>
    <x v="0"/>
    <x v="0"/>
    <x v="0"/>
    <m/>
    <x v="0"/>
    <n v="1"/>
    <n v="1"/>
    <n v="1"/>
    <n v="1"/>
    <n v="1"/>
    <n v="1"/>
    <n v="1"/>
    <n v="1"/>
  </r>
  <r>
    <x v="1"/>
    <x v="1"/>
    <x v="0"/>
    <x v="0"/>
    <x v="0"/>
    <d v="2019-03-01T00:00:00"/>
    <x v="1"/>
    <m/>
    <m/>
    <m/>
    <m/>
    <m/>
    <m/>
    <m/>
    <m/>
  </r>
  <r>
    <x v="2"/>
    <x v="1"/>
    <x v="0"/>
    <x v="0"/>
    <x v="0"/>
    <d v="2019-08-01T00:00:00"/>
    <x v="2"/>
    <n v="1"/>
    <n v="1"/>
    <m/>
    <m/>
    <m/>
    <m/>
    <m/>
    <m/>
  </r>
  <r>
    <x v="3"/>
    <x v="0"/>
    <x v="0"/>
    <x v="0"/>
    <x v="0"/>
    <m/>
    <x v="0"/>
    <n v="1"/>
    <n v="1"/>
    <n v="1"/>
    <n v="1"/>
    <n v="1"/>
    <n v="1"/>
    <n v="1"/>
    <n v="1"/>
  </r>
  <r>
    <x v="4"/>
    <x v="0"/>
    <x v="0"/>
    <x v="0"/>
    <x v="0"/>
    <m/>
    <x v="0"/>
    <n v="1"/>
    <n v="1"/>
    <n v="1"/>
    <n v="1"/>
    <n v="1"/>
    <n v="1"/>
    <n v="1"/>
    <n v="1"/>
  </r>
  <r>
    <x v="5"/>
    <x v="1"/>
    <x v="0"/>
    <x v="0"/>
    <x v="0"/>
    <d v="2020-09-01T00:00:00"/>
    <x v="3"/>
    <n v="1"/>
    <n v="1"/>
    <n v="1"/>
    <n v="1"/>
    <n v="1"/>
    <n v="1"/>
    <m/>
    <m/>
  </r>
  <r>
    <x v="6"/>
    <x v="0"/>
    <x v="0"/>
    <x v="0"/>
    <x v="0"/>
    <m/>
    <x v="0"/>
    <n v="1"/>
    <n v="1"/>
    <n v="1"/>
    <n v="1"/>
    <n v="1"/>
    <n v="1"/>
    <n v="1"/>
    <n v="1"/>
  </r>
  <r>
    <x v="7"/>
    <x v="0"/>
    <x v="0"/>
    <x v="0"/>
    <x v="0"/>
    <m/>
    <x v="0"/>
    <n v="1"/>
    <n v="1"/>
    <n v="1"/>
    <n v="1"/>
    <n v="1"/>
    <n v="1"/>
    <n v="1"/>
    <n v="1"/>
  </r>
  <r>
    <x v="8"/>
    <x v="1"/>
    <x v="0"/>
    <x v="0"/>
    <x v="0"/>
    <d v="2019-09-01T00:00:00"/>
    <x v="2"/>
    <n v="1"/>
    <n v="1"/>
    <m/>
    <m/>
    <m/>
    <m/>
    <m/>
    <m/>
  </r>
  <r>
    <x v="9"/>
    <x v="0"/>
    <x v="0"/>
    <x v="0"/>
    <x v="0"/>
    <m/>
    <x v="0"/>
    <n v="1"/>
    <n v="1"/>
    <n v="1"/>
    <n v="1"/>
    <n v="1"/>
    <n v="1"/>
    <n v="1"/>
    <n v="1"/>
  </r>
  <r>
    <x v="10"/>
    <x v="0"/>
    <x v="0"/>
    <x v="0"/>
    <x v="0"/>
    <m/>
    <x v="0"/>
    <n v="1"/>
    <n v="1"/>
    <n v="1"/>
    <n v="1"/>
    <n v="1"/>
    <n v="1"/>
    <n v="1"/>
    <n v="1"/>
  </r>
  <r>
    <x v="11"/>
    <x v="1"/>
    <x v="1"/>
    <x v="0"/>
    <x v="0"/>
    <d v="2019-10-01T00:00:00"/>
    <x v="4"/>
    <n v="1"/>
    <n v="1"/>
    <n v="1"/>
    <m/>
    <m/>
    <m/>
    <m/>
    <m/>
  </r>
  <r>
    <x v="12"/>
    <x v="1"/>
    <x v="1"/>
    <x v="0"/>
    <x v="0"/>
    <d v="2019-04-01T00:00:00"/>
    <x v="5"/>
    <n v="1"/>
    <m/>
    <m/>
    <m/>
    <m/>
    <m/>
    <m/>
    <m/>
  </r>
  <r>
    <x v="13"/>
    <x v="1"/>
    <x v="1"/>
    <x v="0"/>
    <x v="0"/>
    <d v="2019-06-01T00:00:00"/>
    <x v="5"/>
    <n v="1"/>
    <m/>
    <m/>
    <m/>
    <m/>
    <m/>
    <m/>
    <m/>
  </r>
  <r>
    <x v="14"/>
    <x v="0"/>
    <x v="1"/>
    <x v="0"/>
    <x v="0"/>
    <m/>
    <x v="0"/>
    <n v="1"/>
    <n v="1"/>
    <n v="1"/>
    <n v="1"/>
    <n v="1"/>
    <n v="1"/>
    <n v="1"/>
    <n v="1"/>
  </r>
  <r>
    <x v="15"/>
    <x v="0"/>
    <x v="1"/>
    <x v="0"/>
    <x v="0"/>
    <m/>
    <x v="0"/>
    <n v="1"/>
    <n v="1"/>
    <n v="1"/>
    <n v="1"/>
    <n v="1"/>
    <n v="1"/>
    <n v="1"/>
    <n v="1"/>
  </r>
  <r>
    <x v="16"/>
    <x v="0"/>
    <x v="1"/>
    <x v="0"/>
    <x v="0"/>
    <m/>
    <x v="0"/>
    <n v="1"/>
    <n v="1"/>
    <n v="1"/>
    <n v="1"/>
    <n v="1"/>
    <n v="1"/>
    <n v="1"/>
    <n v="1"/>
  </r>
  <r>
    <x v="17"/>
    <x v="1"/>
    <x v="1"/>
    <x v="0"/>
    <x v="0"/>
    <d v="2019-11-01T00:00:00"/>
    <x v="4"/>
    <n v="1"/>
    <n v="1"/>
    <n v="1"/>
    <m/>
    <m/>
    <m/>
    <m/>
    <m/>
  </r>
  <r>
    <x v="18"/>
    <x v="0"/>
    <x v="1"/>
    <x v="0"/>
    <x v="0"/>
    <m/>
    <x v="0"/>
    <n v="1"/>
    <n v="1"/>
    <n v="1"/>
    <n v="1"/>
    <n v="1"/>
    <n v="1"/>
    <n v="1"/>
    <n v="1"/>
  </r>
  <r>
    <x v="19"/>
    <x v="1"/>
    <x v="1"/>
    <x v="0"/>
    <x v="0"/>
    <d v="2019-05-01T00:00:00"/>
    <x v="5"/>
    <n v="1"/>
    <m/>
    <m/>
    <m/>
    <m/>
    <m/>
    <m/>
    <m/>
  </r>
  <r>
    <x v="20"/>
    <x v="0"/>
    <x v="1"/>
    <x v="0"/>
    <x v="0"/>
    <m/>
    <x v="0"/>
    <n v="1"/>
    <n v="1"/>
    <n v="1"/>
    <n v="1"/>
    <n v="1"/>
    <n v="1"/>
    <n v="1"/>
    <n v="1"/>
  </r>
  <r>
    <x v="21"/>
    <x v="0"/>
    <x v="1"/>
    <x v="0"/>
    <x v="0"/>
    <m/>
    <x v="0"/>
    <n v="1"/>
    <n v="1"/>
    <n v="1"/>
    <n v="1"/>
    <n v="1"/>
    <n v="1"/>
    <n v="1"/>
    <n v="1"/>
  </r>
  <r>
    <x v="22"/>
    <x v="0"/>
    <x v="1"/>
    <x v="0"/>
    <x v="0"/>
    <m/>
    <x v="0"/>
    <n v="1"/>
    <n v="1"/>
    <n v="1"/>
    <n v="1"/>
    <n v="1"/>
    <n v="1"/>
    <n v="1"/>
    <n v="1"/>
  </r>
  <r>
    <x v="23"/>
    <x v="0"/>
    <x v="1"/>
    <x v="0"/>
    <x v="0"/>
    <m/>
    <x v="0"/>
    <n v="1"/>
    <n v="1"/>
    <n v="1"/>
    <n v="1"/>
    <n v="1"/>
    <n v="1"/>
    <n v="1"/>
    <n v="1"/>
  </r>
  <r>
    <x v="24"/>
    <x v="1"/>
    <x v="2"/>
    <x v="0"/>
    <x v="0"/>
    <d v="2020-03-01T00:00:00"/>
    <x v="6"/>
    <n v="1"/>
    <n v="1"/>
    <n v="1"/>
    <n v="1"/>
    <m/>
    <m/>
    <m/>
    <m/>
  </r>
  <r>
    <x v="25"/>
    <x v="0"/>
    <x v="2"/>
    <x v="0"/>
    <x v="0"/>
    <m/>
    <x v="0"/>
    <n v="1"/>
    <n v="1"/>
    <n v="1"/>
    <n v="1"/>
    <n v="1"/>
    <n v="1"/>
    <n v="1"/>
    <n v="1"/>
  </r>
  <r>
    <x v="26"/>
    <x v="1"/>
    <x v="2"/>
    <x v="0"/>
    <x v="0"/>
    <d v="2019-10-01T00:00:00"/>
    <x v="4"/>
    <n v="1"/>
    <n v="1"/>
    <n v="1"/>
    <m/>
    <m/>
    <m/>
    <m/>
    <m/>
  </r>
  <r>
    <x v="27"/>
    <x v="1"/>
    <x v="2"/>
    <x v="0"/>
    <x v="0"/>
    <d v="2020-10-01T00:00:00"/>
    <x v="7"/>
    <n v="1"/>
    <n v="1"/>
    <n v="1"/>
    <n v="1"/>
    <n v="1"/>
    <n v="1"/>
    <n v="1"/>
    <m/>
  </r>
  <r>
    <x v="28"/>
    <x v="1"/>
    <x v="2"/>
    <x v="0"/>
    <x v="0"/>
    <d v="2020-09-01T00:00:00"/>
    <x v="3"/>
    <n v="1"/>
    <n v="1"/>
    <n v="1"/>
    <n v="1"/>
    <n v="1"/>
    <n v="1"/>
    <m/>
    <m/>
  </r>
  <r>
    <x v="29"/>
    <x v="1"/>
    <x v="2"/>
    <x v="0"/>
    <x v="0"/>
    <d v="2020-06-01T00:00:00"/>
    <x v="8"/>
    <n v="1"/>
    <n v="1"/>
    <n v="1"/>
    <n v="1"/>
    <n v="1"/>
    <m/>
    <m/>
    <m/>
  </r>
  <r>
    <x v="30"/>
    <x v="1"/>
    <x v="2"/>
    <x v="0"/>
    <x v="0"/>
    <d v="2019-09-01T00:00:00"/>
    <x v="2"/>
    <n v="1"/>
    <n v="1"/>
    <m/>
    <m/>
    <m/>
    <m/>
    <m/>
    <m/>
  </r>
  <r>
    <x v="31"/>
    <x v="1"/>
    <x v="2"/>
    <x v="0"/>
    <x v="0"/>
    <d v="2020-05-01T00:00:00"/>
    <x v="8"/>
    <n v="1"/>
    <n v="1"/>
    <n v="1"/>
    <n v="1"/>
    <n v="1"/>
    <m/>
    <m/>
    <m/>
  </r>
  <r>
    <x v="32"/>
    <x v="0"/>
    <x v="2"/>
    <x v="0"/>
    <x v="0"/>
    <m/>
    <x v="0"/>
    <n v="1"/>
    <n v="1"/>
    <n v="1"/>
    <n v="1"/>
    <n v="1"/>
    <n v="1"/>
    <n v="1"/>
    <n v="1"/>
  </r>
  <r>
    <x v="33"/>
    <x v="0"/>
    <x v="2"/>
    <x v="0"/>
    <x v="0"/>
    <m/>
    <x v="0"/>
    <n v="1"/>
    <n v="1"/>
    <n v="1"/>
    <n v="1"/>
    <n v="1"/>
    <n v="1"/>
    <n v="1"/>
    <n v="1"/>
  </r>
  <r>
    <x v="34"/>
    <x v="1"/>
    <x v="2"/>
    <x v="0"/>
    <x v="0"/>
    <d v="2020-05-01T00:00:00"/>
    <x v="8"/>
    <n v="1"/>
    <n v="1"/>
    <n v="1"/>
    <n v="1"/>
    <n v="1"/>
    <m/>
    <m/>
    <m/>
  </r>
  <r>
    <x v="35"/>
    <x v="1"/>
    <x v="2"/>
    <x v="0"/>
    <x v="0"/>
    <d v="2020-05-01T00:00:00"/>
    <x v="8"/>
    <n v="1"/>
    <n v="1"/>
    <n v="1"/>
    <n v="1"/>
    <n v="1"/>
    <m/>
    <m/>
    <m/>
  </r>
  <r>
    <x v="36"/>
    <x v="0"/>
    <x v="2"/>
    <x v="0"/>
    <x v="0"/>
    <m/>
    <x v="0"/>
    <n v="1"/>
    <n v="1"/>
    <n v="1"/>
    <n v="1"/>
    <n v="1"/>
    <n v="1"/>
    <n v="1"/>
    <n v="1"/>
  </r>
  <r>
    <x v="37"/>
    <x v="1"/>
    <x v="3"/>
    <x v="0"/>
    <x v="1"/>
    <d v="2019-11-01T00:00:00"/>
    <x v="4"/>
    <m/>
    <n v="1"/>
    <n v="1"/>
    <m/>
    <m/>
    <m/>
    <m/>
    <m/>
  </r>
  <r>
    <x v="38"/>
    <x v="0"/>
    <x v="3"/>
    <x v="0"/>
    <x v="1"/>
    <m/>
    <x v="0"/>
    <m/>
    <n v="1"/>
    <n v="1"/>
    <n v="1"/>
    <n v="1"/>
    <n v="1"/>
    <n v="1"/>
    <n v="1"/>
  </r>
  <r>
    <x v="39"/>
    <x v="0"/>
    <x v="3"/>
    <x v="0"/>
    <x v="1"/>
    <m/>
    <x v="0"/>
    <m/>
    <n v="1"/>
    <n v="1"/>
    <n v="1"/>
    <n v="1"/>
    <n v="1"/>
    <n v="1"/>
    <n v="1"/>
  </r>
  <r>
    <x v="40"/>
    <x v="0"/>
    <x v="3"/>
    <x v="0"/>
    <x v="1"/>
    <m/>
    <x v="0"/>
    <m/>
    <n v="1"/>
    <n v="1"/>
    <n v="1"/>
    <n v="1"/>
    <n v="1"/>
    <n v="1"/>
    <n v="1"/>
  </r>
  <r>
    <x v="41"/>
    <x v="1"/>
    <x v="3"/>
    <x v="0"/>
    <x v="1"/>
    <d v="2019-09-01T00:00:00"/>
    <x v="2"/>
    <m/>
    <n v="1"/>
    <m/>
    <m/>
    <m/>
    <m/>
    <m/>
    <m/>
  </r>
  <r>
    <x v="42"/>
    <x v="1"/>
    <x v="3"/>
    <x v="0"/>
    <x v="1"/>
    <d v="2020-04-01T00:00:00"/>
    <x v="8"/>
    <m/>
    <n v="1"/>
    <n v="1"/>
    <n v="1"/>
    <n v="1"/>
    <m/>
    <m/>
    <m/>
  </r>
  <r>
    <x v="43"/>
    <x v="1"/>
    <x v="3"/>
    <x v="0"/>
    <x v="1"/>
    <d v="2019-06-01T00:00:00"/>
    <x v="5"/>
    <m/>
    <m/>
    <m/>
    <m/>
    <m/>
    <m/>
    <m/>
    <m/>
  </r>
  <r>
    <x v="44"/>
    <x v="1"/>
    <x v="3"/>
    <x v="0"/>
    <x v="1"/>
    <d v="2020-04-01T00:00:00"/>
    <x v="8"/>
    <m/>
    <n v="1"/>
    <n v="1"/>
    <n v="1"/>
    <n v="1"/>
    <m/>
    <m/>
    <m/>
  </r>
  <r>
    <x v="45"/>
    <x v="0"/>
    <x v="3"/>
    <x v="0"/>
    <x v="1"/>
    <m/>
    <x v="0"/>
    <m/>
    <n v="1"/>
    <n v="1"/>
    <n v="1"/>
    <n v="1"/>
    <n v="1"/>
    <n v="1"/>
    <n v="1"/>
  </r>
  <r>
    <x v="46"/>
    <x v="1"/>
    <x v="3"/>
    <x v="0"/>
    <x v="1"/>
    <d v="2020-01-01T00:00:00"/>
    <x v="6"/>
    <m/>
    <n v="1"/>
    <n v="1"/>
    <n v="1"/>
    <m/>
    <m/>
    <m/>
    <m/>
  </r>
  <r>
    <x v="47"/>
    <x v="1"/>
    <x v="3"/>
    <x v="0"/>
    <x v="1"/>
    <d v="2020-01-01T00:00:00"/>
    <x v="6"/>
    <m/>
    <n v="1"/>
    <n v="1"/>
    <n v="1"/>
    <m/>
    <m/>
    <m/>
    <m/>
  </r>
  <r>
    <x v="48"/>
    <x v="0"/>
    <x v="3"/>
    <x v="0"/>
    <x v="1"/>
    <m/>
    <x v="0"/>
    <m/>
    <n v="1"/>
    <n v="1"/>
    <n v="1"/>
    <n v="1"/>
    <n v="1"/>
    <n v="1"/>
    <n v="1"/>
  </r>
  <r>
    <x v="49"/>
    <x v="1"/>
    <x v="3"/>
    <x v="0"/>
    <x v="1"/>
    <d v="2019-08-01T00:00:00"/>
    <x v="2"/>
    <m/>
    <n v="1"/>
    <m/>
    <m/>
    <m/>
    <m/>
    <m/>
    <m/>
  </r>
  <r>
    <x v="50"/>
    <x v="0"/>
    <x v="3"/>
    <x v="0"/>
    <x v="1"/>
    <m/>
    <x v="0"/>
    <m/>
    <n v="1"/>
    <n v="1"/>
    <n v="1"/>
    <n v="1"/>
    <n v="1"/>
    <n v="1"/>
    <n v="1"/>
  </r>
  <r>
    <x v="51"/>
    <x v="0"/>
    <x v="3"/>
    <x v="0"/>
    <x v="1"/>
    <m/>
    <x v="0"/>
    <m/>
    <n v="1"/>
    <n v="1"/>
    <n v="1"/>
    <n v="1"/>
    <n v="1"/>
    <n v="1"/>
    <n v="1"/>
  </r>
  <r>
    <x v="52"/>
    <x v="1"/>
    <x v="4"/>
    <x v="0"/>
    <x v="1"/>
    <d v="2019-10-01T00:00:00"/>
    <x v="4"/>
    <m/>
    <n v="1"/>
    <n v="1"/>
    <m/>
    <m/>
    <m/>
    <m/>
    <m/>
  </r>
  <r>
    <x v="53"/>
    <x v="1"/>
    <x v="4"/>
    <x v="0"/>
    <x v="1"/>
    <d v="2019-08-01T00:00:00"/>
    <x v="2"/>
    <m/>
    <n v="1"/>
    <m/>
    <m/>
    <m/>
    <m/>
    <m/>
    <m/>
  </r>
  <r>
    <x v="54"/>
    <x v="1"/>
    <x v="4"/>
    <x v="0"/>
    <x v="1"/>
    <d v="2020-07-01T00:00:00"/>
    <x v="3"/>
    <m/>
    <n v="1"/>
    <n v="1"/>
    <n v="1"/>
    <n v="1"/>
    <n v="1"/>
    <m/>
    <m/>
  </r>
  <r>
    <x v="55"/>
    <x v="0"/>
    <x v="4"/>
    <x v="0"/>
    <x v="1"/>
    <m/>
    <x v="0"/>
    <m/>
    <n v="1"/>
    <n v="1"/>
    <n v="1"/>
    <n v="1"/>
    <n v="1"/>
    <n v="1"/>
    <n v="1"/>
  </r>
  <r>
    <x v="56"/>
    <x v="0"/>
    <x v="4"/>
    <x v="0"/>
    <x v="1"/>
    <m/>
    <x v="0"/>
    <m/>
    <n v="1"/>
    <n v="1"/>
    <n v="1"/>
    <n v="1"/>
    <n v="1"/>
    <n v="1"/>
    <n v="1"/>
  </r>
  <r>
    <x v="57"/>
    <x v="1"/>
    <x v="4"/>
    <x v="0"/>
    <x v="1"/>
    <d v="2019-09-01T00:00:00"/>
    <x v="2"/>
    <m/>
    <n v="1"/>
    <m/>
    <m/>
    <m/>
    <m/>
    <m/>
    <m/>
  </r>
  <r>
    <x v="58"/>
    <x v="1"/>
    <x v="4"/>
    <x v="0"/>
    <x v="1"/>
    <d v="2020-05-01T00:00:00"/>
    <x v="8"/>
    <m/>
    <n v="1"/>
    <n v="1"/>
    <n v="1"/>
    <n v="1"/>
    <m/>
    <m/>
    <m/>
  </r>
  <r>
    <x v="59"/>
    <x v="1"/>
    <x v="4"/>
    <x v="0"/>
    <x v="1"/>
    <d v="2020-07-01T00:00:00"/>
    <x v="3"/>
    <m/>
    <n v="1"/>
    <n v="1"/>
    <n v="1"/>
    <n v="1"/>
    <n v="1"/>
    <m/>
    <m/>
  </r>
  <r>
    <x v="60"/>
    <x v="0"/>
    <x v="4"/>
    <x v="0"/>
    <x v="1"/>
    <m/>
    <x v="0"/>
    <m/>
    <n v="1"/>
    <n v="1"/>
    <n v="1"/>
    <n v="1"/>
    <n v="1"/>
    <n v="1"/>
    <n v="1"/>
  </r>
  <r>
    <x v="61"/>
    <x v="0"/>
    <x v="4"/>
    <x v="0"/>
    <x v="1"/>
    <m/>
    <x v="0"/>
    <m/>
    <n v="1"/>
    <n v="1"/>
    <n v="1"/>
    <n v="1"/>
    <n v="1"/>
    <n v="1"/>
    <n v="1"/>
  </r>
  <r>
    <x v="62"/>
    <x v="1"/>
    <x v="4"/>
    <x v="0"/>
    <x v="1"/>
    <d v="2020-02-01T00:00:00"/>
    <x v="6"/>
    <m/>
    <n v="1"/>
    <n v="1"/>
    <n v="1"/>
    <m/>
    <m/>
    <m/>
    <m/>
  </r>
  <r>
    <x v="63"/>
    <x v="0"/>
    <x v="4"/>
    <x v="0"/>
    <x v="1"/>
    <m/>
    <x v="0"/>
    <m/>
    <n v="1"/>
    <n v="1"/>
    <n v="1"/>
    <n v="1"/>
    <n v="1"/>
    <n v="1"/>
    <n v="1"/>
  </r>
  <r>
    <x v="64"/>
    <x v="0"/>
    <x v="4"/>
    <x v="0"/>
    <x v="1"/>
    <m/>
    <x v="0"/>
    <m/>
    <n v="1"/>
    <n v="1"/>
    <n v="1"/>
    <n v="1"/>
    <n v="1"/>
    <n v="1"/>
    <n v="1"/>
  </r>
  <r>
    <x v="65"/>
    <x v="1"/>
    <x v="5"/>
    <x v="0"/>
    <x v="1"/>
    <d v="2019-12-01T00:00:00"/>
    <x v="4"/>
    <m/>
    <n v="1"/>
    <n v="1"/>
    <m/>
    <m/>
    <m/>
    <m/>
    <m/>
  </r>
  <r>
    <x v="66"/>
    <x v="1"/>
    <x v="5"/>
    <x v="0"/>
    <x v="1"/>
    <d v="2019-09-01T00:00:00"/>
    <x v="2"/>
    <m/>
    <n v="1"/>
    <m/>
    <m/>
    <m/>
    <m/>
    <m/>
    <m/>
  </r>
  <r>
    <x v="67"/>
    <x v="1"/>
    <x v="5"/>
    <x v="0"/>
    <x v="1"/>
    <d v="2020-02-01T00:00:00"/>
    <x v="6"/>
    <m/>
    <n v="1"/>
    <n v="1"/>
    <n v="1"/>
    <m/>
    <m/>
    <m/>
    <m/>
  </r>
  <r>
    <x v="68"/>
    <x v="1"/>
    <x v="5"/>
    <x v="0"/>
    <x v="1"/>
    <d v="2020-09-01T00:00:00"/>
    <x v="3"/>
    <m/>
    <n v="1"/>
    <n v="1"/>
    <n v="1"/>
    <n v="1"/>
    <n v="1"/>
    <m/>
    <m/>
  </r>
  <r>
    <x v="69"/>
    <x v="0"/>
    <x v="5"/>
    <x v="0"/>
    <x v="1"/>
    <m/>
    <x v="0"/>
    <m/>
    <n v="1"/>
    <n v="1"/>
    <n v="1"/>
    <n v="1"/>
    <n v="1"/>
    <n v="1"/>
    <n v="1"/>
  </r>
  <r>
    <x v="70"/>
    <x v="0"/>
    <x v="5"/>
    <x v="0"/>
    <x v="1"/>
    <m/>
    <x v="0"/>
    <m/>
    <n v="1"/>
    <n v="1"/>
    <n v="1"/>
    <n v="1"/>
    <n v="1"/>
    <n v="1"/>
    <n v="1"/>
  </r>
  <r>
    <x v="71"/>
    <x v="0"/>
    <x v="5"/>
    <x v="0"/>
    <x v="1"/>
    <m/>
    <x v="0"/>
    <m/>
    <n v="1"/>
    <n v="1"/>
    <n v="1"/>
    <n v="1"/>
    <n v="1"/>
    <n v="1"/>
    <n v="1"/>
  </r>
  <r>
    <x v="72"/>
    <x v="0"/>
    <x v="5"/>
    <x v="0"/>
    <x v="1"/>
    <m/>
    <x v="0"/>
    <m/>
    <n v="1"/>
    <n v="1"/>
    <n v="1"/>
    <n v="1"/>
    <n v="1"/>
    <n v="1"/>
    <n v="1"/>
  </r>
  <r>
    <x v="73"/>
    <x v="1"/>
    <x v="5"/>
    <x v="0"/>
    <x v="1"/>
    <d v="2020-12-01T00:00:00"/>
    <x v="7"/>
    <m/>
    <n v="1"/>
    <n v="1"/>
    <n v="1"/>
    <n v="1"/>
    <n v="1"/>
    <n v="1"/>
    <m/>
  </r>
  <r>
    <x v="74"/>
    <x v="0"/>
    <x v="5"/>
    <x v="0"/>
    <x v="1"/>
    <m/>
    <x v="0"/>
    <m/>
    <n v="1"/>
    <n v="1"/>
    <n v="1"/>
    <n v="1"/>
    <n v="1"/>
    <n v="1"/>
    <n v="1"/>
  </r>
  <r>
    <x v="75"/>
    <x v="0"/>
    <x v="5"/>
    <x v="0"/>
    <x v="1"/>
    <m/>
    <x v="0"/>
    <m/>
    <n v="1"/>
    <n v="1"/>
    <n v="1"/>
    <n v="1"/>
    <n v="1"/>
    <n v="1"/>
    <n v="1"/>
  </r>
  <r>
    <x v="76"/>
    <x v="1"/>
    <x v="6"/>
    <x v="0"/>
    <x v="2"/>
    <d v="2020-05-01T00:00:00"/>
    <x v="8"/>
    <m/>
    <m/>
    <n v="1"/>
    <n v="1"/>
    <n v="1"/>
    <m/>
    <m/>
    <m/>
  </r>
  <r>
    <x v="77"/>
    <x v="1"/>
    <x v="6"/>
    <x v="0"/>
    <x v="2"/>
    <d v="2020-01-01T00:00:00"/>
    <x v="6"/>
    <m/>
    <m/>
    <n v="1"/>
    <n v="1"/>
    <m/>
    <m/>
    <m/>
    <m/>
  </r>
  <r>
    <x v="78"/>
    <x v="1"/>
    <x v="6"/>
    <x v="0"/>
    <x v="2"/>
    <d v="2020-08-01T00:00:00"/>
    <x v="3"/>
    <m/>
    <m/>
    <n v="1"/>
    <n v="1"/>
    <n v="1"/>
    <n v="1"/>
    <m/>
    <m/>
  </r>
  <r>
    <x v="79"/>
    <x v="0"/>
    <x v="6"/>
    <x v="0"/>
    <x v="2"/>
    <m/>
    <x v="0"/>
    <m/>
    <m/>
    <n v="1"/>
    <n v="1"/>
    <n v="1"/>
    <n v="1"/>
    <n v="1"/>
    <n v="1"/>
  </r>
  <r>
    <x v="80"/>
    <x v="0"/>
    <x v="6"/>
    <x v="0"/>
    <x v="2"/>
    <m/>
    <x v="0"/>
    <m/>
    <m/>
    <n v="1"/>
    <n v="1"/>
    <n v="1"/>
    <n v="1"/>
    <n v="1"/>
    <n v="1"/>
  </r>
  <r>
    <x v="81"/>
    <x v="1"/>
    <x v="6"/>
    <x v="0"/>
    <x v="2"/>
    <d v="2020-02-01T00:00:00"/>
    <x v="6"/>
    <m/>
    <m/>
    <n v="1"/>
    <n v="1"/>
    <m/>
    <m/>
    <m/>
    <m/>
  </r>
  <r>
    <x v="82"/>
    <x v="1"/>
    <x v="6"/>
    <x v="0"/>
    <x v="2"/>
    <d v="2020-02-01T00:00:00"/>
    <x v="6"/>
    <m/>
    <m/>
    <n v="1"/>
    <n v="1"/>
    <m/>
    <m/>
    <m/>
    <m/>
  </r>
  <r>
    <x v="83"/>
    <x v="0"/>
    <x v="6"/>
    <x v="0"/>
    <x v="2"/>
    <m/>
    <x v="0"/>
    <m/>
    <m/>
    <n v="1"/>
    <n v="1"/>
    <n v="1"/>
    <n v="1"/>
    <n v="1"/>
    <n v="1"/>
  </r>
  <r>
    <x v="84"/>
    <x v="0"/>
    <x v="6"/>
    <x v="0"/>
    <x v="2"/>
    <m/>
    <x v="0"/>
    <m/>
    <m/>
    <n v="1"/>
    <n v="1"/>
    <n v="1"/>
    <n v="1"/>
    <n v="1"/>
    <n v="1"/>
  </r>
  <r>
    <x v="85"/>
    <x v="1"/>
    <x v="6"/>
    <x v="0"/>
    <x v="2"/>
    <d v="2020-11-01T00:00:00"/>
    <x v="7"/>
    <m/>
    <m/>
    <n v="1"/>
    <n v="1"/>
    <n v="1"/>
    <n v="1"/>
    <n v="1"/>
    <m/>
  </r>
  <r>
    <x v="86"/>
    <x v="0"/>
    <x v="6"/>
    <x v="0"/>
    <x v="2"/>
    <m/>
    <x v="0"/>
    <m/>
    <m/>
    <n v="1"/>
    <n v="1"/>
    <n v="1"/>
    <n v="1"/>
    <n v="1"/>
    <n v="1"/>
  </r>
  <r>
    <x v="87"/>
    <x v="0"/>
    <x v="7"/>
    <x v="0"/>
    <x v="2"/>
    <m/>
    <x v="0"/>
    <m/>
    <m/>
    <n v="1"/>
    <n v="1"/>
    <n v="1"/>
    <n v="1"/>
    <n v="1"/>
    <n v="1"/>
  </r>
  <r>
    <x v="88"/>
    <x v="1"/>
    <x v="7"/>
    <x v="0"/>
    <x v="2"/>
    <d v="2019-09-01T00:00:00"/>
    <x v="2"/>
    <m/>
    <m/>
    <m/>
    <m/>
    <m/>
    <m/>
    <m/>
    <m/>
  </r>
  <r>
    <x v="89"/>
    <x v="0"/>
    <x v="7"/>
    <x v="0"/>
    <x v="2"/>
    <m/>
    <x v="0"/>
    <m/>
    <m/>
    <n v="1"/>
    <n v="1"/>
    <n v="1"/>
    <n v="1"/>
    <n v="1"/>
    <n v="1"/>
  </r>
  <r>
    <x v="90"/>
    <x v="0"/>
    <x v="7"/>
    <x v="0"/>
    <x v="2"/>
    <m/>
    <x v="0"/>
    <m/>
    <m/>
    <n v="1"/>
    <n v="1"/>
    <n v="1"/>
    <n v="1"/>
    <n v="1"/>
    <n v="1"/>
  </r>
  <r>
    <x v="91"/>
    <x v="1"/>
    <x v="8"/>
    <x v="0"/>
    <x v="2"/>
    <d v="2020-09-01T00:00:00"/>
    <x v="3"/>
    <m/>
    <m/>
    <n v="1"/>
    <n v="1"/>
    <n v="1"/>
    <n v="1"/>
    <m/>
    <m/>
  </r>
  <r>
    <x v="92"/>
    <x v="0"/>
    <x v="8"/>
    <x v="0"/>
    <x v="2"/>
    <m/>
    <x v="0"/>
    <m/>
    <m/>
    <n v="1"/>
    <n v="1"/>
    <n v="1"/>
    <n v="1"/>
    <n v="1"/>
    <n v="1"/>
  </r>
  <r>
    <x v="93"/>
    <x v="1"/>
    <x v="8"/>
    <x v="0"/>
    <x v="2"/>
    <d v="2020-01-01T00:00:00"/>
    <x v="6"/>
    <m/>
    <m/>
    <n v="1"/>
    <n v="1"/>
    <m/>
    <m/>
    <m/>
    <m/>
  </r>
  <r>
    <x v="94"/>
    <x v="0"/>
    <x v="8"/>
    <x v="0"/>
    <x v="2"/>
    <m/>
    <x v="0"/>
    <m/>
    <m/>
    <n v="1"/>
    <n v="1"/>
    <n v="1"/>
    <n v="1"/>
    <n v="1"/>
    <n v="1"/>
  </r>
  <r>
    <x v="95"/>
    <x v="1"/>
    <x v="8"/>
    <x v="0"/>
    <x v="2"/>
    <d v="2019-11-01T00:00:00"/>
    <x v="4"/>
    <m/>
    <m/>
    <n v="1"/>
    <m/>
    <m/>
    <m/>
    <m/>
    <m/>
  </r>
  <r>
    <x v="96"/>
    <x v="1"/>
    <x v="8"/>
    <x v="0"/>
    <x v="2"/>
    <d v="2020-09-01T00:00:00"/>
    <x v="3"/>
    <m/>
    <m/>
    <n v="1"/>
    <n v="1"/>
    <n v="1"/>
    <n v="1"/>
    <m/>
    <m/>
  </r>
  <r>
    <x v="97"/>
    <x v="0"/>
    <x v="8"/>
    <x v="0"/>
    <x v="2"/>
    <m/>
    <x v="0"/>
    <m/>
    <m/>
    <n v="1"/>
    <n v="1"/>
    <n v="1"/>
    <n v="1"/>
    <n v="1"/>
    <n v="1"/>
  </r>
  <r>
    <x v="98"/>
    <x v="0"/>
    <x v="8"/>
    <x v="0"/>
    <x v="2"/>
    <m/>
    <x v="0"/>
    <m/>
    <m/>
    <n v="1"/>
    <n v="1"/>
    <n v="1"/>
    <n v="1"/>
    <n v="1"/>
    <n v="1"/>
  </r>
  <r>
    <x v="99"/>
    <x v="1"/>
    <x v="9"/>
    <x v="0"/>
    <x v="3"/>
    <d v="2020-11-01T00:00:00"/>
    <x v="7"/>
    <m/>
    <m/>
    <m/>
    <n v="1"/>
    <n v="1"/>
    <n v="1"/>
    <n v="1"/>
    <m/>
  </r>
  <r>
    <x v="100"/>
    <x v="0"/>
    <x v="9"/>
    <x v="0"/>
    <x v="3"/>
    <m/>
    <x v="0"/>
    <m/>
    <m/>
    <m/>
    <n v="1"/>
    <n v="1"/>
    <n v="1"/>
    <n v="1"/>
    <n v="1"/>
  </r>
  <r>
    <x v="101"/>
    <x v="1"/>
    <x v="9"/>
    <x v="0"/>
    <x v="3"/>
    <d v="2020-03-01T00:00:00"/>
    <x v="6"/>
    <m/>
    <m/>
    <m/>
    <n v="1"/>
    <m/>
    <m/>
    <m/>
    <m/>
  </r>
  <r>
    <x v="102"/>
    <x v="0"/>
    <x v="9"/>
    <x v="0"/>
    <x v="3"/>
    <m/>
    <x v="0"/>
    <m/>
    <m/>
    <m/>
    <n v="1"/>
    <n v="1"/>
    <n v="1"/>
    <n v="1"/>
    <n v="1"/>
  </r>
  <r>
    <x v="103"/>
    <x v="0"/>
    <x v="9"/>
    <x v="0"/>
    <x v="3"/>
    <m/>
    <x v="0"/>
    <m/>
    <m/>
    <m/>
    <n v="1"/>
    <n v="1"/>
    <n v="1"/>
    <n v="1"/>
    <n v="1"/>
  </r>
  <r>
    <x v="104"/>
    <x v="0"/>
    <x v="9"/>
    <x v="0"/>
    <x v="3"/>
    <m/>
    <x v="0"/>
    <m/>
    <m/>
    <m/>
    <n v="1"/>
    <n v="1"/>
    <n v="1"/>
    <n v="1"/>
    <n v="1"/>
  </r>
  <r>
    <x v="105"/>
    <x v="0"/>
    <x v="9"/>
    <x v="0"/>
    <x v="3"/>
    <m/>
    <x v="0"/>
    <m/>
    <m/>
    <m/>
    <n v="1"/>
    <n v="1"/>
    <n v="1"/>
    <n v="1"/>
    <n v="1"/>
  </r>
  <r>
    <x v="106"/>
    <x v="0"/>
    <x v="9"/>
    <x v="0"/>
    <x v="3"/>
    <m/>
    <x v="0"/>
    <m/>
    <m/>
    <m/>
    <n v="1"/>
    <n v="1"/>
    <n v="1"/>
    <n v="1"/>
    <n v="1"/>
  </r>
  <r>
    <x v="107"/>
    <x v="1"/>
    <x v="9"/>
    <x v="0"/>
    <x v="3"/>
    <d v="2020-07-01T00:00:00"/>
    <x v="3"/>
    <m/>
    <m/>
    <m/>
    <n v="1"/>
    <n v="1"/>
    <n v="1"/>
    <m/>
    <m/>
  </r>
  <r>
    <x v="108"/>
    <x v="0"/>
    <x v="9"/>
    <x v="0"/>
    <x v="3"/>
    <m/>
    <x v="0"/>
    <m/>
    <m/>
    <m/>
    <n v="1"/>
    <n v="1"/>
    <n v="1"/>
    <n v="1"/>
    <n v="1"/>
  </r>
  <r>
    <x v="109"/>
    <x v="0"/>
    <x v="9"/>
    <x v="0"/>
    <x v="3"/>
    <m/>
    <x v="0"/>
    <m/>
    <m/>
    <m/>
    <n v="1"/>
    <n v="1"/>
    <n v="1"/>
    <n v="1"/>
    <n v="1"/>
  </r>
  <r>
    <x v="110"/>
    <x v="0"/>
    <x v="9"/>
    <x v="0"/>
    <x v="3"/>
    <m/>
    <x v="0"/>
    <m/>
    <m/>
    <m/>
    <n v="1"/>
    <n v="1"/>
    <n v="1"/>
    <n v="1"/>
    <n v="1"/>
  </r>
  <r>
    <x v="111"/>
    <x v="1"/>
    <x v="9"/>
    <x v="0"/>
    <x v="3"/>
    <d v="2020-10-01T00:00:00"/>
    <x v="7"/>
    <m/>
    <m/>
    <m/>
    <n v="1"/>
    <n v="1"/>
    <n v="1"/>
    <n v="1"/>
    <m/>
  </r>
  <r>
    <x v="112"/>
    <x v="0"/>
    <x v="9"/>
    <x v="0"/>
    <x v="3"/>
    <m/>
    <x v="0"/>
    <m/>
    <m/>
    <m/>
    <n v="1"/>
    <n v="1"/>
    <n v="1"/>
    <n v="1"/>
    <n v="1"/>
  </r>
  <r>
    <x v="113"/>
    <x v="0"/>
    <x v="9"/>
    <x v="0"/>
    <x v="3"/>
    <m/>
    <x v="0"/>
    <m/>
    <m/>
    <m/>
    <n v="1"/>
    <n v="1"/>
    <n v="1"/>
    <n v="1"/>
    <n v="1"/>
  </r>
  <r>
    <x v="114"/>
    <x v="0"/>
    <x v="10"/>
    <x v="0"/>
    <x v="3"/>
    <m/>
    <x v="0"/>
    <m/>
    <m/>
    <m/>
    <n v="1"/>
    <n v="1"/>
    <n v="1"/>
    <n v="1"/>
    <n v="1"/>
  </r>
  <r>
    <x v="115"/>
    <x v="0"/>
    <x v="10"/>
    <x v="0"/>
    <x v="3"/>
    <m/>
    <x v="0"/>
    <m/>
    <m/>
    <m/>
    <n v="1"/>
    <n v="1"/>
    <n v="1"/>
    <n v="1"/>
    <n v="1"/>
  </r>
  <r>
    <x v="116"/>
    <x v="0"/>
    <x v="10"/>
    <x v="0"/>
    <x v="3"/>
    <m/>
    <x v="0"/>
    <m/>
    <m/>
    <m/>
    <n v="1"/>
    <n v="1"/>
    <n v="1"/>
    <n v="1"/>
    <n v="1"/>
  </r>
  <r>
    <x v="117"/>
    <x v="1"/>
    <x v="10"/>
    <x v="0"/>
    <x v="3"/>
    <d v="2020-04-01T00:00:00"/>
    <x v="8"/>
    <m/>
    <m/>
    <m/>
    <n v="1"/>
    <n v="1"/>
    <m/>
    <m/>
    <m/>
  </r>
  <r>
    <x v="118"/>
    <x v="0"/>
    <x v="10"/>
    <x v="0"/>
    <x v="3"/>
    <m/>
    <x v="0"/>
    <m/>
    <m/>
    <m/>
    <n v="1"/>
    <n v="1"/>
    <n v="1"/>
    <n v="1"/>
    <n v="1"/>
  </r>
  <r>
    <x v="119"/>
    <x v="0"/>
    <x v="10"/>
    <x v="0"/>
    <x v="3"/>
    <m/>
    <x v="0"/>
    <m/>
    <m/>
    <m/>
    <n v="1"/>
    <n v="1"/>
    <n v="1"/>
    <n v="1"/>
    <n v="1"/>
  </r>
  <r>
    <x v="120"/>
    <x v="0"/>
    <x v="10"/>
    <x v="0"/>
    <x v="3"/>
    <m/>
    <x v="0"/>
    <m/>
    <m/>
    <m/>
    <n v="1"/>
    <n v="1"/>
    <n v="1"/>
    <n v="1"/>
    <n v="1"/>
  </r>
  <r>
    <x v="121"/>
    <x v="0"/>
    <x v="10"/>
    <x v="0"/>
    <x v="3"/>
    <m/>
    <x v="0"/>
    <m/>
    <m/>
    <m/>
    <n v="1"/>
    <n v="1"/>
    <n v="1"/>
    <n v="1"/>
    <n v="1"/>
  </r>
  <r>
    <x v="122"/>
    <x v="1"/>
    <x v="10"/>
    <x v="0"/>
    <x v="3"/>
    <d v="2020-05-01T00:00:00"/>
    <x v="8"/>
    <m/>
    <m/>
    <m/>
    <n v="1"/>
    <n v="1"/>
    <m/>
    <m/>
    <m/>
  </r>
  <r>
    <x v="123"/>
    <x v="1"/>
    <x v="10"/>
    <x v="0"/>
    <x v="3"/>
    <d v="2020-12-01T00:00:00"/>
    <x v="7"/>
    <m/>
    <m/>
    <m/>
    <n v="1"/>
    <n v="1"/>
    <n v="1"/>
    <n v="1"/>
    <m/>
  </r>
  <r>
    <x v="124"/>
    <x v="0"/>
    <x v="10"/>
    <x v="0"/>
    <x v="3"/>
    <m/>
    <x v="0"/>
    <m/>
    <m/>
    <m/>
    <n v="1"/>
    <n v="1"/>
    <n v="1"/>
    <n v="1"/>
    <n v="1"/>
  </r>
  <r>
    <x v="125"/>
    <x v="0"/>
    <x v="10"/>
    <x v="0"/>
    <x v="3"/>
    <m/>
    <x v="0"/>
    <m/>
    <m/>
    <m/>
    <n v="1"/>
    <n v="1"/>
    <n v="1"/>
    <n v="1"/>
    <n v="1"/>
  </r>
  <r>
    <x v="126"/>
    <x v="1"/>
    <x v="10"/>
    <x v="0"/>
    <x v="3"/>
    <d v="2020-05-01T00:00:00"/>
    <x v="8"/>
    <m/>
    <m/>
    <m/>
    <n v="1"/>
    <n v="1"/>
    <m/>
    <m/>
    <m/>
  </r>
  <r>
    <x v="127"/>
    <x v="0"/>
    <x v="11"/>
    <x v="0"/>
    <x v="3"/>
    <m/>
    <x v="0"/>
    <m/>
    <m/>
    <m/>
    <n v="1"/>
    <n v="1"/>
    <n v="1"/>
    <n v="1"/>
    <n v="1"/>
  </r>
  <r>
    <x v="128"/>
    <x v="0"/>
    <x v="11"/>
    <x v="0"/>
    <x v="3"/>
    <m/>
    <x v="0"/>
    <m/>
    <m/>
    <m/>
    <n v="1"/>
    <n v="1"/>
    <n v="1"/>
    <n v="1"/>
    <n v="1"/>
  </r>
  <r>
    <x v="129"/>
    <x v="0"/>
    <x v="11"/>
    <x v="0"/>
    <x v="3"/>
    <m/>
    <x v="0"/>
    <m/>
    <m/>
    <m/>
    <n v="1"/>
    <n v="1"/>
    <n v="1"/>
    <n v="1"/>
    <n v="1"/>
  </r>
  <r>
    <x v="130"/>
    <x v="0"/>
    <x v="11"/>
    <x v="0"/>
    <x v="3"/>
    <m/>
    <x v="0"/>
    <m/>
    <m/>
    <m/>
    <n v="1"/>
    <n v="1"/>
    <n v="1"/>
    <n v="1"/>
    <n v="1"/>
  </r>
  <r>
    <x v="131"/>
    <x v="0"/>
    <x v="11"/>
    <x v="0"/>
    <x v="3"/>
    <m/>
    <x v="0"/>
    <m/>
    <m/>
    <m/>
    <n v="1"/>
    <n v="1"/>
    <n v="1"/>
    <n v="1"/>
    <n v="1"/>
  </r>
  <r>
    <x v="132"/>
    <x v="0"/>
    <x v="11"/>
    <x v="0"/>
    <x v="3"/>
    <m/>
    <x v="0"/>
    <m/>
    <m/>
    <m/>
    <n v="1"/>
    <n v="1"/>
    <n v="1"/>
    <n v="1"/>
    <n v="1"/>
  </r>
  <r>
    <x v="133"/>
    <x v="1"/>
    <x v="12"/>
    <x v="0"/>
    <x v="4"/>
    <d v="2020-09-01T00:00:00"/>
    <x v="3"/>
    <m/>
    <m/>
    <m/>
    <m/>
    <n v="1"/>
    <n v="1"/>
    <m/>
    <m/>
  </r>
  <r>
    <x v="134"/>
    <x v="0"/>
    <x v="12"/>
    <x v="1"/>
    <x v="4"/>
    <d v="2020-03-01T00:00:00"/>
    <x v="6"/>
    <m/>
    <m/>
    <m/>
    <m/>
    <n v="1"/>
    <n v="1"/>
    <n v="1"/>
    <n v="1"/>
  </r>
  <r>
    <x v="135"/>
    <x v="0"/>
    <x v="12"/>
    <x v="0"/>
    <x v="4"/>
    <m/>
    <x v="0"/>
    <m/>
    <m/>
    <m/>
    <m/>
    <n v="1"/>
    <n v="1"/>
    <n v="1"/>
    <n v="1"/>
  </r>
  <r>
    <x v="136"/>
    <x v="1"/>
    <x v="12"/>
    <x v="0"/>
    <x v="4"/>
    <d v="2020-06-01T00:00:00"/>
    <x v="8"/>
    <m/>
    <m/>
    <m/>
    <m/>
    <n v="1"/>
    <m/>
    <m/>
    <m/>
  </r>
  <r>
    <x v="137"/>
    <x v="1"/>
    <x v="12"/>
    <x v="0"/>
    <x v="4"/>
    <d v="2020-10-01T00:00:00"/>
    <x v="7"/>
    <m/>
    <m/>
    <m/>
    <m/>
    <n v="1"/>
    <n v="1"/>
    <n v="1"/>
    <m/>
  </r>
  <r>
    <x v="138"/>
    <x v="1"/>
    <x v="12"/>
    <x v="0"/>
    <x v="4"/>
    <d v="2020-06-01T00:00:00"/>
    <x v="8"/>
    <m/>
    <m/>
    <m/>
    <m/>
    <n v="1"/>
    <m/>
    <m/>
    <m/>
  </r>
  <r>
    <x v="139"/>
    <x v="0"/>
    <x v="12"/>
    <x v="0"/>
    <x v="4"/>
    <m/>
    <x v="0"/>
    <m/>
    <m/>
    <m/>
    <m/>
    <n v="1"/>
    <n v="1"/>
    <n v="1"/>
    <n v="1"/>
  </r>
  <r>
    <x v="140"/>
    <x v="1"/>
    <x v="12"/>
    <x v="0"/>
    <x v="4"/>
    <d v="2020-12-01T00:00:00"/>
    <x v="7"/>
    <m/>
    <m/>
    <m/>
    <m/>
    <n v="1"/>
    <n v="1"/>
    <n v="1"/>
    <m/>
  </r>
  <r>
    <x v="141"/>
    <x v="1"/>
    <x v="12"/>
    <x v="0"/>
    <x v="4"/>
    <d v="2020-12-01T00:00:00"/>
    <x v="7"/>
    <m/>
    <m/>
    <m/>
    <m/>
    <n v="1"/>
    <n v="1"/>
    <n v="1"/>
    <m/>
  </r>
  <r>
    <x v="142"/>
    <x v="1"/>
    <x v="12"/>
    <x v="0"/>
    <x v="4"/>
    <d v="2020-11-01T00:00:00"/>
    <x v="7"/>
    <m/>
    <m/>
    <m/>
    <m/>
    <n v="1"/>
    <n v="1"/>
    <n v="1"/>
    <m/>
  </r>
  <r>
    <x v="143"/>
    <x v="0"/>
    <x v="12"/>
    <x v="0"/>
    <x v="4"/>
    <m/>
    <x v="0"/>
    <m/>
    <m/>
    <m/>
    <m/>
    <n v="1"/>
    <n v="1"/>
    <n v="1"/>
    <n v="1"/>
  </r>
  <r>
    <x v="144"/>
    <x v="0"/>
    <x v="12"/>
    <x v="0"/>
    <x v="4"/>
    <m/>
    <x v="0"/>
    <m/>
    <m/>
    <m/>
    <m/>
    <n v="1"/>
    <n v="1"/>
    <n v="1"/>
    <n v="1"/>
  </r>
  <r>
    <x v="145"/>
    <x v="0"/>
    <x v="12"/>
    <x v="0"/>
    <x v="4"/>
    <m/>
    <x v="0"/>
    <m/>
    <m/>
    <m/>
    <m/>
    <n v="1"/>
    <n v="1"/>
    <n v="1"/>
    <n v="1"/>
  </r>
  <r>
    <x v="146"/>
    <x v="0"/>
    <x v="12"/>
    <x v="0"/>
    <x v="4"/>
    <m/>
    <x v="0"/>
    <m/>
    <m/>
    <m/>
    <m/>
    <n v="1"/>
    <n v="1"/>
    <n v="1"/>
    <n v="1"/>
  </r>
  <r>
    <x v="147"/>
    <x v="0"/>
    <x v="12"/>
    <x v="0"/>
    <x v="4"/>
    <m/>
    <x v="0"/>
    <m/>
    <m/>
    <m/>
    <m/>
    <n v="1"/>
    <n v="1"/>
    <n v="1"/>
    <n v="1"/>
  </r>
  <r>
    <x v="148"/>
    <x v="0"/>
    <x v="12"/>
    <x v="0"/>
    <x v="4"/>
    <m/>
    <x v="0"/>
    <m/>
    <m/>
    <m/>
    <m/>
    <n v="1"/>
    <n v="1"/>
    <n v="1"/>
    <n v="1"/>
  </r>
  <r>
    <x v="149"/>
    <x v="0"/>
    <x v="12"/>
    <x v="0"/>
    <x v="4"/>
    <m/>
    <x v="0"/>
    <m/>
    <m/>
    <m/>
    <m/>
    <n v="1"/>
    <n v="1"/>
    <n v="1"/>
    <n v="1"/>
  </r>
  <r>
    <x v="150"/>
    <x v="0"/>
    <x v="12"/>
    <x v="0"/>
    <x v="4"/>
    <m/>
    <x v="0"/>
    <m/>
    <m/>
    <m/>
    <m/>
    <n v="1"/>
    <n v="1"/>
    <n v="1"/>
    <n v="1"/>
  </r>
  <r>
    <x v="151"/>
    <x v="0"/>
    <x v="12"/>
    <x v="0"/>
    <x v="4"/>
    <m/>
    <x v="0"/>
    <m/>
    <m/>
    <m/>
    <m/>
    <n v="1"/>
    <n v="1"/>
    <n v="1"/>
    <n v="1"/>
  </r>
  <r>
    <x v="152"/>
    <x v="0"/>
    <x v="12"/>
    <x v="0"/>
    <x v="4"/>
    <m/>
    <x v="0"/>
    <m/>
    <m/>
    <m/>
    <m/>
    <n v="1"/>
    <n v="1"/>
    <n v="1"/>
    <n v="1"/>
  </r>
  <r>
    <x v="153"/>
    <x v="0"/>
    <x v="12"/>
    <x v="0"/>
    <x v="4"/>
    <m/>
    <x v="0"/>
    <m/>
    <m/>
    <m/>
    <m/>
    <n v="1"/>
    <n v="1"/>
    <n v="1"/>
    <n v="1"/>
  </r>
  <r>
    <x v="154"/>
    <x v="0"/>
    <x v="13"/>
    <x v="0"/>
    <x v="4"/>
    <m/>
    <x v="0"/>
    <m/>
    <m/>
    <m/>
    <m/>
    <n v="1"/>
    <n v="1"/>
    <n v="1"/>
    <n v="1"/>
  </r>
  <r>
    <x v="155"/>
    <x v="0"/>
    <x v="13"/>
    <x v="0"/>
    <x v="4"/>
    <m/>
    <x v="0"/>
    <m/>
    <m/>
    <m/>
    <m/>
    <n v="1"/>
    <n v="1"/>
    <n v="1"/>
    <n v="1"/>
  </r>
  <r>
    <x v="156"/>
    <x v="1"/>
    <x v="13"/>
    <x v="0"/>
    <x v="4"/>
    <d v="2020-04-01T00:00:00"/>
    <x v="8"/>
    <m/>
    <m/>
    <m/>
    <m/>
    <m/>
    <m/>
    <m/>
    <m/>
  </r>
  <r>
    <x v="157"/>
    <x v="0"/>
    <x v="13"/>
    <x v="0"/>
    <x v="4"/>
    <m/>
    <x v="0"/>
    <m/>
    <m/>
    <m/>
    <m/>
    <n v="1"/>
    <n v="1"/>
    <n v="1"/>
    <n v="1"/>
  </r>
  <r>
    <x v="158"/>
    <x v="0"/>
    <x v="13"/>
    <x v="0"/>
    <x v="4"/>
    <m/>
    <x v="0"/>
    <m/>
    <m/>
    <m/>
    <m/>
    <n v="1"/>
    <n v="1"/>
    <n v="1"/>
    <n v="1"/>
  </r>
  <r>
    <x v="159"/>
    <x v="0"/>
    <x v="13"/>
    <x v="0"/>
    <x v="4"/>
    <m/>
    <x v="0"/>
    <m/>
    <m/>
    <m/>
    <m/>
    <n v="1"/>
    <n v="1"/>
    <n v="1"/>
    <n v="1"/>
  </r>
  <r>
    <x v="160"/>
    <x v="1"/>
    <x v="13"/>
    <x v="0"/>
    <x v="4"/>
    <d v="2020-12-01T00:00:00"/>
    <x v="7"/>
    <m/>
    <m/>
    <m/>
    <m/>
    <n v="1"/>
    <n v="1"/>
    <n v="1"/>
    <m/>
  </r>
  <r>
    <x v="161"/>
    <x v="0"/>
    <x v="13"/>
    <x v="0"/>
    <x v="4"/>
    <m/>
    <x v="0"/>
    <m/>
    <m/>
    <m/>
    <m/>
    <n v="1"/>
    <n v="1"/>
    <n v="1"/>
    <n v="1"/>
  </r>
  <r>
    <x v="162"/>
    <x v="0"/>
    <x v="13"/>
    <x v="0"/>
    <x v="4"/>
    <m/>
    <x v="0"/>
    <m/>
    <m/>
    <m/>
    <m/>
    <n v="1"/>
    <n v="1"/>
    <n v="1"/>
    <n v="1"/>
  </r>
  <r>
    <x v="163"/>
    <x v="0"/>
    <x v="13"/>
    <x v="0"/>
    <x v="4"/>
    <m/>
    <x v="0"/>
    <m/>
    <m/>
    <m/>
    <m/>
    <n v="1"/>
    <n v="1"/>
    <n v="1"/>
    <n v="1"/>
  </r>
  <r>
    <x v="164"/>
    <x v="0"/>
    <x v="13"/>
    <x v="0"/>
    <x v="4"/>
    <m/>
    <x v="0"/>
    <m/>
    <m/>
    <m/>
    <m/>
    <n v="1"/>
    <n v="1"/>
    <n v="1"/>
    <n v="1"/>
  </r>
  <r>
    <x v="165"/>
    <x v="0"/>
    <x v="14"/>
    <x v="0"/>
    <x v="4"/>
    <m/>
    <x v="0"/>
    <m/>
    <m/>
    <m/>
    <m/>
    <n v="1"/>
    <n v="1"/>
    <n v="1"/>
    <n v="1"/>
  </r>
  <r>
    <x v="166"/>
    <x v="0"/>
    <x v="14"/>
    <x v="0"/>
    <x v="4"/>
    <m/>
    <x v="0"/>
    <m/>
    <m/>
    <m/>
    <m/>
    <n v="1"/>
    <n v="1"/>
    <n v="1"/>
    <n v="1"/>
  </r>
  <r>
    <x v="167"/>
    <x v="1"/>
    <x v="14"/>
    <x v="0"/>
    <x v="4"/>
    <d v="2020-08-01T00:00:00"/>
    <x v="3"/>
    <m/>
    <m/>
    <m/>
    <m/>
    <n v="1"/>
    <n v="1"/>
    <m/>
    <m/>
  </r>
  <r>
    <x v="168"/>
    <x v="1"/>
    <x v="14"/>
    <x v="0"/>
    <x v="4"/>
    <d v="2020-08-01T00:00:00"/>
    <x v="3"/>
    <m/>
    <m/>
    <m/>
    <m/>
    <n v="1"/>
    <n v="1"/>
    <m/>
    <m/>
  </r>
  <r>
    <x v="169"/>
    <x v="1"/>
    <x v="14"/>
    <x v="0"/>
    <x v="4"/>
    <d v="2020-06-01T00:00:00"/>
    <x v="8"/>
    <m/>
    <m/>
    <m/>
    <m/>
    <n v="1"/>
    <m/>
    <m/>
    <m/>
  </r>
  <r>
    <x v="170"/>
    <x v="0"/>
    <x v="14"/>
    <x v="0"/>
    <x v="4"/>
    <m/>
    <x v="0"/>
    <m/>
    <m/>
    <m/>
    <m/>
    <n v="1"/>
    <n v="1"/>
    <n v="1"/>
    <n v="1"/>
  </r>
  <r>
    <x v="171"/>
    <x v="0"/>
    <x v="14"/>
    <x v="0"/>
    <x v="4"/>
    <m/>
    <x v="0"/>
    <m/>
    <m/>
    <m/>
    <m/>
    <n v="1"/>
    <n v="1"/>
    <n v="1"/>
    <n v="1"/>
  </r>
  <r>
    <x v="172"/>
    <x v="1"/>
    <x v="14"/>
    <x v="0"/>
    <x v="4"/>
    <d v="2020-06-01T00:00:00"/>
    <x v="8"/>
    <m/>
    <m/>
    <m/>
    <m/>
    <n v="1"/>
    <m/>
    <m/>
    <m/>
  </r>
  <r>
    <x v="173"/>
    <x v="1"/>
    <x v="14"/>
    <x v="0"/>
    <x v="4"/>
    <d v="2020-06-01T00:00:00"/>
    <x v="8"/>
    <m/>
    <m/>
    <m/>
    <m/>
    <n v="1"/>
    <m/>
    <m/>
    <m/>
  </r>
  <r>
    <x v="174"/>
    <x v="0"/>
    <x v="14"/>
    <x v="0"/>
    <x v="4"/>
    <m/>
    <x v="0"/>
    <m/>
    <m/>
    <m/>
    <m/>
    <n v="1"/>
    <n v="1"/>
    <n v="1"/>
    <n v="1"/>
  </r>
  <r>
    <x v="175"/>
    <x v="1"/>
    <x v="14"/>
    <x v="0"/>
    <x v="4"/>
    <d v="2020-09-01T00:00:00"/>
    <x v="3"/>
    <m/>
    <m/>
    <m/>
    <m/>
    <n v="1"/>
    <n v="1"/>
    <m/>
    <m/>
  </r>
  <r>
    <x v="176"/>
    <x v="1"/>
    <x v="15"/>
    <x v="0"/>
    <x v="5"/>
    <d v="2020-09-01T00:00:00"/>
    <x v="3"/>
    <m/>
    <m/>
    <m/>
    <m/>
    <m/>
    <n v="1"/>
    <m/>
    <m/>
  </r>
  <r>
    <x v="177"/>
    <x v="0"/>
    <x v="15"/>
    <x v="0"/>
    <x v="5"/>
    <m/>
    <x v="0"/>
    <m/>
    <m/>
    <m/>
    <m/>
    <m/>
    <n v="1"/>
    <n v="1"/>
    <n v="1"/>
  </r>
  <r>
    <x v="178"/>
    <x v="0"/>
    <x v="15"/>
    <x v="0"/>
    <x v="5"/>
    <m/>
    <x v="0"/>
    <m/>
    <m/>
    <m/>
    <m/>
    <m/>
    <n v="1"/>
    <n v="1"/>
    <n v="1"/>
  </r>
  <r>
    <x v="179"/>
    <x v="0"/>
    <x v="15"/>
    <x v="0"/>
    <x v="5"/>
    <m/>
    <x v="0"/>
    <m/>
    <m/>
    <m/>
    <m/>
    <m/>
    <n v="1"/>
    <n v="1"/>
    <n v="1"/>
  </r>
  <r>
    <x v="180"/>
    <x v="0"/>
    <x v="15"/>
    <x v="0"/>
    <x v="5"/>
    <m/>
    <x v="0"/>
    <m/>
    <m/>
    <m/>
    <m/>
    <m/>
    <n v="1"/>
    <n v="1"/>
    <n v="1"/>
  </r>
  <r>
    <x v="181"/>
    <x v="1"/>
    <x v="15"/>
    <x v="0"/>
    <x v="5"/>
    <d v="2020-06-01T00:00:00"/>
    <x v="8"/>
    <m/>
    <m/>
    <m/>
    <m/>
    <m/>
    <m/>
    <m/>
    <m/>
  </r>
  <r>
    <x v="182"/>
    <x v="0"/>
    <x v="15"/>
    <x v="0"/>
    <x v="5"/>
    <m/>
    <x v="0"/>
    <m/>
    <m/>
    <m/>
    <m/>
    <m/>
    <n v="1"/>
    <n v="1"/>
    <n v="1"/>
  </r>
  <r>
    <x v="183"/>
    <x v="0"/>
    <x v="15"/>
    <x v="0"/>
    <x v="5"/>
    <m/>
    <x v="0"/>
    <m/>
    <m/>
    <m/>
    <m/>
    <m/>
    <n v="1"/>
    <n v="1"/>
    <n v="1"/>
  </r>
  <r>
    <x v="184"/>
    <x v="0"/>
    <x v="15"/>
    <x v="0"/>
    <x v="5"/>
    <m/>
    <x v="0"/>
    <m/>
    <m/>
    <m/>
    <m/>
    <m/>
    <n v="1"/>
    <n v="1"/>
    <n v="1"/>
  </r>
  <r>
    <x v="185"/>
    <x v="0"/>
    <x v="15"/>
    <x v="0"/>
    <x v="5"/>
    <m/>
    <x v="0"/>
    <m/>
    <m/>
    <m/>
    <m/>
    <m/>
    <n v="1"/>
    <n v="1"/>
    <n v="1"/>
  </r>
  <r>
    <x v="186"/>
    <x v="0"/>
    <x v="15"/>
    <x v="0"/>
    <x v="5"/>
    <m/>
    <x v="0"/>
    <m/>
    <m/>
    <m/>
    <m/>
    <m/>
    <n v="1"/>
    <n v="1"/>
    <n v="1"/>
  </r>
  <r>
    <x v="187"/>
    <x v="0"/>
    <x v="15"/>
    <x v="0"/>
    <x v="5"/>
    <m/>
    <x v="0"/>
    <m/>
    <m/>
    <m/>
    <m/>
    <m/>
    <n v="1"/>
    <n v="1"/>
    <n v="1"/>
  </r>
  <r>
    <x v="188"/>
    <x v="0"/>
    <x v="15"/>
    <x v="0"/>
    <x v="5"/>
    <m/>
    <x v="0"/>
    <m/>
    <m/>
    <m/>
    <m/>
    <m/>
    <n v="1"/>
    <n v="1"/>
    <n v="1"/>
  </r>
  <r>
    <x v="189"/>
    <x v="0"/>
    <x v="15"/>
    <x v="0"/>
    <x v="5"/>
    <m/>
    <x v="0"/>
    <m/>
    <m/>
    <m/>
    <m/>
    <m/>
    <n v="1"/>
    <n v="1"/>
    <n v="1"/>
  </r>
  <r>
    <x v="190"/>
    <x v="0"/>
    <x v="15"/>
    <x v="0"/>
    <x v="5"/>
    <m/>
    <x v="0"/>
    <m/>
    <m/>
    <m/>
    <m/>
    <m/>
    <n v="1"/>
    <n v="1"/>
    <n v="1"/>
  </r>
  <r>
    <x v="191"/>
    <x v="0"/>
    <x v="15"/>
    <x v="0"/>
    <x v="5"/>
    <m/>
    <x v="0"/>
    <m/>
    <m/>
    <m/>
    <m/>
    <m/>
    <n v="1"/>
    <n v="1"/>
    <n v="1"/>
  </r>
  <r>
    <x v="192"/>
    <x v="1"/>
    <x v="16"/>
    <x v="0"/>
    <x v="5"/>
    <d v="2020-09-01T00:00:00"/>
    <x v="3"/>
    <m/>
    <m/>
    <m/>
    <m/>
    <m/>
    <n v="1"/>
    <m/>
    <m/>
  </r>
  <r>
    <x v="193"/>
    <x v="0"/>
    <x v="16"/>
    <x v="0"/>
    <x v="5"/>
    <m/>
    <x v="0"/>
    <m/>
    <m/>
    <m/>
    <m/>
    <m/>
    <n v="1"/>
    <n v="1"/>
    <n v="1"/>
  </r>
  <r>
    <x v="194"/>
    <x v="0"/>
    <x v="16"/>
    <x v="0"/>
    <x v="5"/>
    <m/>
    <x v="0"/>
    <m/>
    <m/>
    <m/>
    <m/>
    <m/>
    <n v="1"/>
    <n v="1"/>
    <n v="1"/>
  </r>
  <r>
    <x v="195"/>
    <x v="0"/>
    <x v="16"/>
    <x v="0"/>
    <x v="5"/>
    <m/>
    <x v="0"/>
    <m/>
    <m/>
    <m/>
    <m/>
    <m/>
    <n v="1"/>
    <n v="1"/>
    <n v="1"/>
  </r>
  <r>
    <x v="196"/>
    <x v="1"/>
    <x v="16"/>
    <x v="0"/>
    <x v="5"/>
    <d v="2020-09-01T00:00:00"/>
    <x v="3"/>
    <m/>
    <m/>
    <m/>
    <m/>
    <m/>
    <n v="1"/>
    <m/>
    <m/>
  </r>
  <r>
    <x v="197"/>
    <x v="0"/>
    <x v="16"/>
    <x v="0"/>
    <x v="5"/>
    <m/>
    <x v="0"/>
    <m/>
    <m/>
    <m/>
    <m/>
    <m/>
    <n v="1"/>
    <n v="1"/>
    <n v="1"/>
  </r>
  <r>
    <x v="198"/>
    <x v="1"/>
    <x v="16"/>
    <x v="0"/>
    <x v="5"/>
    <d v="2020-09-01T00:00:00"/>
    <x v="3"/>
    <m/>
    <m/>
    <m/>
    <m/>
    <m/>
    <n v="1"/>
    <m/>
    <m/>
  </r>
  <r>
    <x v="199"/>
    <x v="0"/>
    <x v="16"/>
    <x v="0"/>
    <x v="5"/>
    <m/>
    <x v="0"/>
    <m/>
    <m/>
    <m/>
    <m/>
    <m/>
    <n v="1"/>
    <n v="1"/>
    <n v="1"/>
  </r>
  <r>
    <x v="200"/>
    <x v="1"/>
    <x v="16"/>
    <x v="0"/>
    <x v="5"/>
    <d v="2020-10-01T00:00:00"/>
    <x v="7"/>
    <m/>
    <m/>
    <m/>
    <m/>
    <m/>
    <n v="1"/>
    <n v="1"/>
    <m/>
  </r>
  <r>
    <x v="201"/>
    <x v="1"/>
    <x v="16"/>
    <x v="0"/>
    <x v="5"/>
    <d v="2020-08-01T00:00:00"/>
    <x v="3"/>
    <m/>
    <m/>
    <m/>
    <m/>
    <m/>
    <n v="1"/>
    <m/>
    <m/>
  </r>
  <r>
    <x v="202"/>
    <x v="1"/>
    <x v="16"/>
    <x v="0"/>
    <x v="5"/>
    <d v="2020-10-01T00:00:00"/>
    <x v="7"/>
    <m/>
    <m/>
    <m/>
    <m/>
    <m/>
    <n v="1"/>
    <n v="1"/>
    <m/>
  </r>
  <r>
    <x v="203"/>
    <x v="0"/>
    <x v="16"/>
    <x v="0"/>
    <x v="5"/>
    <m/>
    <x v="0"/>
    <m/>
    <m/>
    <m/>
    <m/>
    <m/>
    <n v="1"/>
    <n v="1"/>
    <n v="1"/>
  </r>
  <r>
    <x v="204"/>
    <x v="1"/>
    <x v="16"/>
    <x v="0"/>
    <x v="5"/>
    <d v="2020-06-01T00:00:00"/>
    <x v="8"/>
    <m/>
    <m/>
    <m/>
    <m/>
    <m/>
    <m/>
    <m/>
    <m/>
  </r>
  <r>
    <x v="205"/>
    <x v="0"/>
    <x v="16"/>
    <x v="0"/>
    <x v="5"/>
    <m/>
    <x v="0"/>
    <m/>
    <m/>
    <m/>
    <m/>
    <m/>
    <n v="1"/>
    <n v="1"/>
    <n v="1"/>
  </r>
  <r>
    <x v="206"/>
    <x v="1"/>
    <x v="16"/>
    <x v="0"/>
    <x v="5"/>
    <d v="2020-11-01T00:00:00"/>
    <x v="7"/>
    <m/>
    <m/>
    <m/>
    <m/>
    <m/>
    <n v="1"/>
    <n v="1"/>
    <m/>
  </r>
  <r>
    <x v="207"/>
    <x v="0"/>
    <x v="16"/>
    <x v="0"/>
    <x v="5"/>
    <m/>
    <x v="0"/>
    <m/>
    <m/>
    <m/>
    <m/>
    <m/>
    <n v="1"/>
    <n v="1"/>
    <n v="1"/>
  </r>
  <r>
    <x v="208"/>
    <x v="0"/>
    <x v="16"/>
    <x v="0"/>
    <x v="5"/>
    <m/>
    <x v="0"/>
    <m/>
    <m/>
    <m/>
    <m/>
    <m/>
    <n v="1"/>
    <n v="1"/>
    <n v="1"/>
  </r>
  <r>
    <x v="209"/>
    <x v="1"/>
    <x v="16"/>
    <x v="0"/>
    <x v="5"/>
    <d v="2020-09-01T00:00:00"/>
    <x v="3"/>
    <m/>
    <m/>
    <m/>
    <m/>
    <m/>
    <n v="1"/>
    <m/>
    <m/>
  </r>
  <r>
    <x v="210"/>
    <x v="0"/>
    <x v="16"/>
    <x v="0"/>
    <x v="5"/>
    <m/>
    <x v="0"/>
    <m/>
    <m/>
    <m/>
    <m/>
    <m/>
    <n v="1"/>
    <n v="1"/>
    <n v="1"/>
  </r>
  <r>
    <x v="211"/>
    <x v="0"/>
    <x v="16"/>
    <x v="0"/>
    <x v="5"/>
    <m/>
    <x v="0"/>
    <m/>
    <m/>
    <m/>
    <m/>
    <m/>
    <n v="1"/>
    <n v="1"/>
    <n v="1"/>
  </r>
  <r>
    <x v="212"/>
    <x v="0"/>
    <x v="16"/>
    <x v="0"/>
    <x v="5"/>
    <m/>
    <x v="0"/>
    <m/>
    <m/>
    <m/>
    <m/>
    <m/>
    <n v="1"/>
    <n v="1"/>
    <n v="1"/>
  </r>
  <r>
    <x v="213"/>
    <x v="0"/>
    <x v="16"/>
    <x v="0"/>
    <x v="5"/>
    <m/>
    <x v="0"/>
    <m/>
    <m/>
    <m/>
    <m/>
    <m/>
    <n v="1"/>
    <n v="1"/>
    <n v="1"/>
  </r>
  <r>
    <x v="214"/>
    <x v="0"/>
    <x v="16"/>
    <x v="0"/>
    <x v="5"/>
    <m/>
    <x v="0"/>
    <m/>
    <m/>
    <m/>
    <m/>
    <m/>
    <n v="1"/>
    <n v="1"/>
    <n v="1"/>
  </r>
  <r>
    <x v="215"/>
    <x v="0"/>
    <x v="16"/>
    <x v="0"/>
    <x v="5"/>
    <m/>
    <x v="0"/>
    <m/>
    <m/>
    <m/>
    <m/>
    <m/>
    <n v="1"/>
    <n v="1"/>
    <n v="1"/>
  </r>
  <r>
    <x v="216"/>
    <x v="0"/>
    <x v="16"/>
    <x v="0"/>
    <x v="5"/>
    <m/>
    <x v="0"/>
    <m/>
    <m/>
    <m/>
    <m/>
    <m/>
    <n v="1"/>
    <n v="1"/>
    <n v="1"/>
  </r>
  <r>
    <x v="217"/>
    <x v="1"/>
    <x v="17"/>
    <x v="0"/>
    <x v="5"/>
    <d v="2020-12-01T00:00:00"/>
    <x v="7"/>
    <m/>
    <m/>
    <m/>
    <m/>
    <m/>
    <n v="1"/>
    <n v="1"/>
    <m/>
  </r>
  <r>
    <x v="218"/>
    <x v="1"/>
    <x v="17"/>
    <x v="0"/>
    <x v="5"/>
    <d v="2020-12-01T00:00:00"/>
    <x v="7"/>
    <m/>
    <m/>
    <m/>
    <m/>
    <m/>
    <n v="1"/>
    <n v="1"/>
    <m/>
  </r>
  <r>
    <x v="219"/>
    <x v="0"/>
    <x v="17"/>
    <x v="0"/>
    <x v="5"/>
    <m/>
    <x v="0"/>
    <m/>
    <m/>
    <m/>
    <m/>
    <m/>
    <n v="1"/>
    <n v="1"/>
    <n v="1"/>
  </r>
  <r>
    <x v="220"/>
    <x v="0"/>
    <x v="17"/>
    <x v="0"/>
    <x v="5"/>
    <m/>
    <x v="0"/>
    <m/>
    <m/>
    <m/>
    <m/>
    <m/>
    <n v="1"/>
    <n v="1"/>
    <n v="1"/>
  </r>
  <r>
    <x v="221"/>
    <x v="0"/>
    <x v="17"/>
    <x v="0"/>
    <x v="5"/>
    <m/>
    <x v="0"/>
    <m/>
    <m/>
    <m/>
    <m/>
    <m/>
    <n v="1"/>
    <n v="1"/>
    <n v="1"/>
  </r>
  <r>
    <x v="222"/>
    <x v="1"/>
    <x v="17"/>
    <x v="0"/>
    <x v="5"/>
    <d v="2020-09-01T00:00:00"/>
    <x v="3"/>
    <m/>
    <m/>
    <m/>
    <m/>
    <m/>
    <n v="1"/>
    <m/>
    <m/>
  </r>
  <r>
    <x v="223"/>
    <x v="0"/>
    <x v="17"/>
    <x v="0"/>
    <x v="5"/>
    <m/>
    <x v="0"/>
    <m/>
    <m/>
    <m/>
    <m/>
    <m/>
    <n v="1"/>
    <n v="1"/>
    <n v="1"/>
  </r>
  <r>
    <x v="224"/>
    <x v="0"/>
    <x v="17"/>
    <x v="0"/>
    <x v="5"/>
    <m/>
    <x v="0"/>
    <m/>
    <m/>
    <m/>
    <m/>
    <m/>
    <n v="1"/>
    <n v="1"/>
    <n v="1"/>
  </r>
  <r>
    <x v="225"/>
    <x v="0"/>
    <x v="17"/>
    <x v="0"/>
    <x v="5"/>
    <m/>
    <x v="0"/>
    <m/>
    <m/>
    <m/>
    <m/>
    <m/>
    <n v="1"/>
    <n v="1"/>
    <n v="1"/>
  </r>
  <r>
    <x v="226"/>
    <x v="0"/>
    <x v="17"/>
    <x v="0"/>
    <x v="5"/>
    <m/>
    <x v="0"/>
    <m/>
    <m/>
    <m/>
    <m/>
    <m/>
    <n v="1"/>
    <n v="1"/>
    <n v="1"/>
  </r>
  <r>
    <x v="227"/>
    <x v="0"/>
    <x v="17"/>
    <x v="0"/>
    <x v="5"/>
    <m/>
    <x v="0"/>
    <m/>
    <m/>
    <m/>
    <m/>
    <m/>
    <n v="1"/>
    <n v="1"/>
    <n v="1"/>
  </r>
  <r>
    <x v="228"/>
    <x v="0"/>
    <x v="17"/>
    <x v="0"/>
    <x v="5"/>
    <m/>
    <x v="0"/>
    <m/>
    <m/>
    <m/>
    <m/>
    <m/>
    <n v="1"/>
    <n v="1"/>
    <n v="1"/>
  </r>
  <r>
    <x v="229"/>
    <x v="0"/>
    <x v="17"/>
    <x v="0"/>
    <x v="5"/>
    <m/>
    <x v="0"/>
    <m/>
    <m/>
    <m/>
    <m/>
    <m/>
    <n v="1"/>
    <n v="1"/>
    <n v="1"/>
  </r>
  <r>
    <x v="230"/>
    <x v="1"/>
    <x v="17"/>
    <x v="0"/>
    <x v="5"/>
    <d v="2020-12-01T00:00:00"/>
    <x v="7"/>
    <m/>
    <m/>
    <m/>
    <m/>
    <m/>
    <n v="1"/>
    <n v="1"/>
    <m/>
  </r>
  <r>
    <x v="231"/>
    <x v="0"/>
    <x v="17"/>
    <x v="0"/>
    <x v="5"/>
    <m/>
    <x v="0"/>
    <m/>
    <m/>
    <m/>
    <m/>
    <m/>
    <n v="1"/>
    <n v="1"/>
    <n v="1"/>
  </r>
  <r>
    <x v="232"/>
    <x v="1"/>
    <x v="17"/>
    <x v="0"/>
    <x v="5"/>
    <d v="2020-11-01T00:00:00"/>
    <x v="7"/>
    <m/>
    <m/>
    <m/>
    <m/>
    <m/>
    <n v="1"/>
    <n v="1"/>
    <m/>
  </r>
  <r>
    <x v="233"/>
    <x v="0"/>
    <x v="17"/>
    <x v="0"/>
    <x v="5"/>
    <m/>
    <x v="0"/>
    <m/>
    <m/>
    <m/>
    <m/>
    <m/>
    <n v="1"/>
    <n v="1"/>
    <n v="1"/>
  </r>
  <r>
    <x v="234"/>
    <x v="0"/>
    <x v="17"/>
    <x v="0"/>
    <x v="5"/>
    <m/>
    <x v="0"/>
    <m/>
    <m/>
    <m/>
    <m/>
    <m/>
    <n v="1"/>
    <n v="1"/>
    <n v="1"/>
  </r>
  <r>
    <x v="235"/>
    <x v="0"/>
    <x v="17"/>
    <x v="0"/>
    <x v="5"/>
    <m/>
    <x v="0"/>
    <m/>
    <m/>
    <m/>
    <m/>
    <m/>
    <n v="1"/>
    <n v="1"/>
    <n v="1"/>
  </r>
  <r>
    <x v="236"/>
    <x v="0"/>
    <x v="17"/>
    <x v="0"/>
    <x v="5"/>
    <m/>
    <x v="0"/>
    <m/>
    <m/>
    <m/>
    <m/>
    <m/>
    <n v="1"/>
    <n v="1"/>
    <n v="1"/>
  </r>
  <r>
    <x v="237"/>
    <x v="0"/>
    <x v="17"/>
    <x v="0"/>
    <x v="5"/>
    <m/>
    <x v="0"/>
    <m/>
    <m/>
    <m/>
    <m/>
    <m/>
    <n v="1"/>
    <n v="1"/>
    <n v="1"/>
  </r>
  <r>
    <x v="238"/>
    <x v="1"/>
    <x v="17"/>
    <x v="0"/>
    <x v="5"/>
    <d v="2020-09-01T00:00:00"/>
    <x v="3"/>
    <m/>
    <m/>
    <m/>
    <m/>
    <m/>
    <n v="1"/>
    <m/>
    <m/>
  </r>
  <r>
    <x v="239"/>
    <x v="0"/>
    <x v="18"/>
    <x v="0"/>
    <x v="6"/>
    <m/>
    <x v="0"/>
    <m/>
    <m/>
    <m/>
    <m/>
    <m/>
    <m/>
    <n v="1"/>
    <n v="1"/>
  </r>
  <r>
    <x v="240"/>
    <x v="0"/>
    <x v="18"/>
    <x v="0"/>
    <x v="6"/>
    <m/>
    <x v="0"/>
    <m/>
    <m/>
    <m/>
    <m/>
    <m/>
    <m/>
    <n v="1"/>
    <n v="1"/>
  </r>
  <r>
    <x v="241"/>
    <x v="0"/>
    <x v="18"/>
    <x v="0"/>
    <x v="6"/>
    <m/>
    <x v="0"/>
    <m/>
    <m/>
    <m/>
    <m/>
    <m/>
    <m/>
    <n v="1"/>
    <n v="1"/>
  </r>
  <r>
    <x v="242"/>
    <x v="1"/>
    <x v="18"/>
    <x v="0"/>
    <x v="6"/>
    <d v="2020-11-01T00:00:00"/>
    <x v="7"/>
    <m/>
    <m/>
    <m/>
    <m/>
    <m/>
    <m/>
    <n v="1"/>
    <m/>
  </r>
  <r>
    <x v="243"/>
    <x v="1"/>
    <x v="18"/>
    <x v="0"/>
    <x v="6"/>
    <d v="2020-11-01T00:00:00"/>
    <x v="7"/>
    <m/>
    <m/>
    <m/>
    <m/>
    <m/>
    <m/>
    <n v="1"/>
    <m/>
  </r>
  <r>
    <x v="244"/>
    <x v="1"/>
    <x v="18"/>
    <x v="0"/>
    <x v="6"/>
    <d v="2020-09-01T00:00:00"/>
    <x v="3"/>
    <m/>
    <m/>
    <m/>
    <m/>
    <m/>
    <m/>
    <m/>
    <m/>
  </r>
  <r>
    <x v="245"/>
    <x v="0"/>
    <x v="18"/>
    <x v="0"/>
    <x v="6"/>
    <m/>
    <x v="0"/>
    <m/>
    <m/>
    <m/>
    <m/>
    <m/>
    <m/>
    <n v="1"/>
    <n v="1"/>
  </r>
  <r>
    <x v="246"/>
    <x v="0"/>
    <x v="18"/>
    <x v="0"/>
    <x v="6"/>
    <m/>
    <x v="0"/>
    <m/>
    <m/>
    <m/>
    <m/>
    <m/>
    <m/>
    <n v="1"/>
    <n v="1"/>
  </r>
  <r>
    <x v="247"/>
    <x v="0"/>
    <x v="18"/>
    <x v="0"/>
    <x v="6"/>
    <m/>
    <x v="0"/>
    <m/>
    <m/>
    <m/>
    <m/>
    <m/>
    <m/>
    <n v="1"/>
    <n v="1"/>
  </r>
  <r>
    <x v="248"/>
    <x v="0"/>
    <x v="18"/>
    <x v="0"/>
    <x v="6"/>
    <m/>
    <x v="0"/>
    <m/>
    <m/>
    <m/>
    <m/>
    <m/>
    <m/>
    <n v="1"/>
    <n v="1"/>
  </r>
  <r>
    <x v="249"/>
    <x v="0"/>
    <x v="18"/>
    <x v="0"/>
    <x v="6"/>
    <m/>
    <x v="0"/>
    <m/>
    <m/>
    <m/>
    <m/>
    <m/>
    <m/>
    <n v="1"/>
    <n v="1"/>
  </r>
  <r>
    <x v="250"/>
    <x v="0"/>
    <x v="18"/>
    <x v="0"/>
    <x v="6"/>
    <m/>
    <x v="0"/>
    <m/>
    <m/>
    <m/>
    <m/>
    <m/>
    <m/>
    <n v="1"/>
    <n v="1"/>
  </r>
  <r>
    <x v="251"/>
    <x v="0"/>
    <x v="18"/>
    <x v="0"/>
    <x v="6"/>
    <m/>
    <x v="0"/>
    <m/>
    <m/>
    <m/>
    <m/>
    <m/>
    <m/>
    <n v="1"/>
    <n v="1"/>
  </r>
  <r>
    <x v="252"/>
    <x v="0"/>
    <x v="18"/>
    <x v="0"/>
    <x v="6"/>
    <m/>
    <x v="0"/>
    <m/>
    <m/>
    <m/>
    <m/>
    <m/>
    <m/>
    <n v="1"/>
    <n v="1"/>
  </r>
  <r>
    <x v="253"/>
    <x v="0"/>
    <x v="18"/>
    <x v="0"/>
    <x v="6"/>
    <m/>
    <x v="0"/>
    <m/>
    <m/>
    <m/>
    <m/>
    <m/>
    <m/>
    <n v="1"/>
    <n v="1"/>
  </r>
  <r>
    <x v="254"/>
    <x v="0"/>
    <x v="18"/>
    <x v="0"/>
    <x v="6"/>
    <m/>
    <x v="0"/>
    <m/>
    <m/>
    <m/>
    <m/>
    <m/>
    <m/>
    <n v="1"/>
    <n v="1"/>
  </r>
  <r>
    <x v="255"/>
    <x v="0"/>
    <x v="18"/>
    <x v="0"/>
    <x v="6"/>
    <m/>
    <x v="0"/>
    <m/>
    <m/>
    <m/>
    <m/>
    <m/>
    <m/>
    <n v="1"/>
    <n v="1"/>
  </r>
  <r>
    <x v="256"/>
    <x v="0"/>
    <x v="18"/>
    <x v="0"/>
    <x v="6"/>
    <m/>
    <x v="0"/>
    <m/>
    <m/>
    <m/>
    <m/>
    <m/>
    <m/>
    <n v="1"/>
    <n v="1"/>
  </r>
  <r>
    <x v="257"/>
    <x v="0"/>
    <x v="18"/>
    <x v="0"/>
    <x v="6"/>
    <m/>
    <x v="0"/>
    <m/>
    <m/>
    <m/>
    <m/>
    <m/>
    <m/>
    <n v="1"/>
    <n v="1"/>
  </r>
  <r>
    <x v="258"/>
    <x v="0"/>
    <x v="18"/>
    <x v="0"/>
    <x v="6"/>
    <m/>
    <x v="0"/>
    <m/>
    <m/>
    <m/>
    <m/>
    <m/>
    <m/>
    <n v="1"/>
    <n v="1"/>
  </r>
  <r>
    <x v="259"/>
    <x v="0"/>
    <x v="18"/>
    <x v="0"/>
    <x v="6"/>
    <m/>
    <x v="0"/>
    <m/>
    <m/>
    <m/>
    <m/>
    <m/>
    <m/>
    <n v="1"/>
    <n v="1"/>
  </r>
  <r>
    <x v="260"/>
    <x v="0"/>
    <x v="19"/>
    <x v="0"/>
    <x v="6"/>
    <m/>
    <x v="0"/>
    <m/>
    <m/>
    <m/>
    <m/>
    <m/>
    <m/>
    <n v="1"/>
    <n v="1"/>
  </r>
  <r>
    <x v="261"/>
    <x v="1"/>
    <x v="19"/>
    <x v="0"/>
    <x v="6"/>
    <d v="2020-11-01T00:00:00"/>
    <x v="7"/>
    <m/>
    <m/>
    <m/>
    <m/>
    <m/>
    <m/>
    <n v="1"/>
    <m/>
  </r>
  <r>
    <x v="262"/>
    <x v="0"/>
    <x v="19"/>
    <x v="0"/>
    <x v="6"/>
    <m/>
    <x v="0"/>
    <m/>
    <m/>
    <m/>
    <m/>
    <m/>
    <m/>
    <n v="1"/>
    <n v="1"/>
  </r>
  <r>
    <x v="263"/>
    <x v="1"/>
    <x v="19"/>
    <x v="0"/>
    <x v="6"/>
    <d v="2020-12-01T00:00:00"/>
    <x v="7"/>
    <m/>
    <m/>
    <m/>
    <m/>
    <m/>
    <m/>
    <n v="1"/>
    <m/>
  </r>
  <r>
    <x v="264"/>
    <x v="0"/>
    <x v="19"/>
    <x v="0"/>
    <x v="6"/>
    <m/>
    <x v="0"/>
    <m/>
    <m/>
    <m/>
    <m/>
    <m/>
    <m/>
    <n v="1"/>
    <n v="1"/>
  </r>
  <r>
    <x v="265"/>
    <x v="1"/>
    <x v="19"/>
    <x v="0"/>
    <x v="6"/>
    <d v="2020-12-01T00:00:00"/>
    <x v="7"/>
    <m/>
    <m/>
    <m/>
    <m/>
    <m/>
    <m/>
    <n v="1"/>
    <m/>
  </r>
  <r>
    <x v="266"/>
    <x v="0"/>
    <x v="19"/>
    <x v="0"/>
    <x v="6"/>
    <m/>
    <x v="0"/>
    <m/>
    <m/>
    <m/>
    <m/>
    <m/>
    <m/>
    <n v="1"/>
    <n v="1"/>
  </r>
  <r>
    <x v="267"/>
    <x v="0"/>
    <x v="19"/>
    <x v="0"/>
    <x v="6"/>
    <m/>
    <x v="0"/>
    <m/>
    <m/>
    <m/>
    <m/>
    <m/>
    <m/>
    <n v="1"/>
    <n v="1"/>
  </r>
  <r>
    <x v="268"/>
    <x v="1"/>
    <x v="19"/>
    <x v="0"/>
    <x v="6"/>
    <d v="2020-11-01T00:00:00"/>
    <x v="7"/>
    <m/>
    <m/>
    <m/>
    <m/>
    <m/>
    <m/>
    <n v="1"/>
    <m/>
  </r>
  <r>
    <x v="269"/>
    <x v="0"/>
    <x v="19"/>
    <x v="0"/>
    <x v="6"/>
    <m/>
    <x v="0"/>
    <m/>
    <m/>
    <m/>
    <m/>
    <m/>
    <m/>
    <n v="1"/>
    <n v="1"/>
  </r>
  <r>
    <x v="270"/>
    <x v="0"/>
    <x v="19"/>
    <x v="1"/>
    <x v="6"/>
    <d v="2020-10-01T00:00:00"/>
    <x v="7"/>
    <m/>
    <m/>
    <m/>
    <m/>
    <m/>
    <m/>
    <n v="1"/>
    <n v="1"/>
  </r>
  <r>
    <x v="271"/>
    <x v="0"/>
    <x v="19"/>
    <x v="0"/>
    <x v="6"/>
    <m/>
    <x v="0"/>
    <m/>
    <m/>
    <m/>
    <m/>
    <m/>
    <m/>
    <n v="1"/>
    <n v="1"/>
  </r>
  <r>
    <x v="272"/>
    <x v="0"/>
    <x v="19"/>
    <x v="0"/>
    <x v="6"/>
    <m/>
    <x v="0"/>
    <m/>
    <m/>
    <m/>
    <m/>
    <m/>
    <m/>
    <n v="1"/>
    <n v="1"/>
  </r>
  <r>
    <x v="273"/>
    <x v="0"/>
    <x v="19"/>
    <x v="0"/>
    <x v="6"/>
    <m/>
    <x v="0"/>
    <m/>
    <m/>
    <m/>
    <m/>
    <m/>
    <m/>
    <n v="1"/>
    <n v="1"/>
  </r>
  <r>
    <x v="274"/>
    <x v="0"/>
    <x v="19"/>
    <x v="0"/>
    <x v="6"/>
    <m/>
    <x v="0"/>
    <m/>
    <m/>
    <m/>
    <m/>
    <m/>
    <m/>
    <n v="1"/>
    <n v="1"/>
  </r>
  <r>
    <x v="275"/>
    <x v="1"/>
    <x v="19"/>
    <x v="0"/>
    <x v="6"/>
    <d v="2020-12-01T00:00:00"/>
    <x v="7"/>
    <m/>
    <m/>
    <m/>
    <m/>
    <m/>
    <m/>
    <n v="1"/>
    <m/>
  </r>
  <r>
    <x v="276"/>
    <x v="0"/>
    <x v="19"/>
    <x v="0"/>
    <x v="6"/>
    <m/>
    <x v="0"/>
    <m/>
    <m/>
    <m/>
    <m/>
    <m/>
    <m/>
    <n v="1"/>
    <n v="1"/>
  </r>
  <r>
    <x v="277"/>
    <x v="0"/>
    <x v="19"/>
    <x v="0"/>
    <x v="6"/>
    <m/>
    <x v="0"/>
    <m/>
    <m/>
    <m/>
    <m/>
    <m/>
    <m/>
    <n v="1"/>
    <n v="1"/>
  </r>
  <r>
    <x v="278"/>
    <x v="0"/>
    <x v="19"/>
    <x v="0"/>
    <x v="6"/>
    <m/>
    <x v="0"/>
    <m/>
    <m/>
    <m/>
    <m/>
    <m/>
    <m/>
    <n v="1"/>
    <n v="1"/>
  </r>
  <r>
    <x v="279"/>
    <x v="0"/>
    <x v="19"/>
    <x v="0"/>
    <x v="6"/>
    <m/>
    <x v="0"/>
    <m/>
    <m/>
    <m/>
    <m/>
    <m/>
    <m/>
    <n v="1"/>
    <n v="1"/>
  </r>
  <r>
    <x v="280"/>
    <x v="0"/>
    <x v="19"/>
    <x v="0"/>
    <x v="6"/>
    <m/>
    <x v="0"/>
    <m/>
    <m/>
    <m/>
    <m/>
    <m/>
    <m/>
    <n v="1"/>
    <n v="1"/>
  </r>
  <r>
    <x v="281"/>
    <x v="0"/>
    <x v="19"/>
    <x v="0"/>
    <x v="6"/>
    <m/>
    <x v="0"/>
    <m/>
    <m/>
    <m/>
    <m/>
    <m/>
    <m/>
    <n v="1"/>
    <n v="1"/>
  </r>
  <r>
    <x v="282"/>
    <x v="0"/>
    <x v="19"/>
    <x v="0"/>
    <x v="6"/>
    <m/>
    <x v="0"/>
    <m/>
    <m/>
    <m/>
    <m/>
    <m/>
    <m/>
    <n v="1"/>
    <n v="1"/>
  </r>
  <r>
    <x v="283"/>
    <x v="0"/>
    <x v="19"/>
    <x v="0"/>
    <x v="6"/>
    <m/>
    <x v="0"/>
    <m/>
    <m/>
    <m/>
    <m/>
    <m/>
    <m/>
    <n v="1"/>
    <n v="1"/>
  </r>
  <r>
    <x v="284"/>
    <x v="0"/>
    <x v="19"/>
    <x v="0"/>
    <x v="6"/>
    <m/>
    <x v="0"/>
    <m/>
    <m/>
    <m/>
    <m/>
    <m/>
    <m/>
    <n v="1"/>
    <n v="1"/>
  </r>
  <r>
    <x v="285"/>
    <x v="0"/>
    <x v="19"/>
    <x v="0"/>
    <x v="6"/>
    <m/>
    <x v="0"/>
    <m/>
    <m/>
    <m/>
    <m/>
    <m/>
    <m/>
    <n v="1"/>
    <n v="1"/>
  </r>
  <r>
    <x v="286"/>
    <x v="0"/>
    <x v="19"/>
    <x v="0"/>
    <x v="6"/>
    <m/>
    <x v="0"/>
    <m/>
    <m/>
    <m/>
    <m/>
    <m/>
    <m/>
    <n v="1"/>
    <n v="1"/>
  </r>
  <r>
    <x v="287"/>
    <x v="0"/>
    <x v="20"/>
    <x v="0"/>
    <x v="6"/>
    <m/>
    <x v="0"/>
    <m/>
    <m/>
    <m/>
    <m/>
    <m/>
    <m/>
    <n v="1"/>
    <n v="1"/>
  </r>
  <r>
    <x v="288"/>
    <x v="0"/>
    <x v="20"/>
    <x v="0"/>
    <x v="6"/>
    <m/>
    <x v="0"/>
    <m/>
    <m/>
    <m/>
    <m/>
    <m/>
    <m/>
    <n v="1"/>
    <n v="1"/>
  </r>
  <r>
    <x v="289"/>
    <x v="0"/>
    <x v="20"/>
    <x v="0"/>
    <x v="6"/>
    <m/>
    <x v="0"/>
    <m/>
    <m/>
    <m/>
    <m/>
    <m/>
    <m/>
    <n v="1"/>
    <n v="1"/>
  </r>
  <r>
    <x v="290"/>
    <x v="0"/>
    <x v="20"/>
    <x v="0"/>
    <x v="6"/>
    <m/>
    <x v="0"/>
    <m/>
    <m/>
    <m/>
    <m/>
    <m/>
    <m/>
    <n v="1"/>
    <n v="1"/>
  </r>
  <r>
    <x v="291"/>
    <x v="0"/>
    <x v="20"/>
    <x v="0"/>
    <x v="6"/>
    <m/>
    <x v="0"/>
    <m/>
    <m/>
    <m/>
    <m/>
    <m/>
    <m/>
    <n v="1"/>
    <n v="1"/>
  </r>
  <r>
    <x v="292"/>
    <x v="0"/>
    <x v="21"/>
    <x v="0"/>
    <x v="7"/>
    <m/>
    <x v="0"/>
    <m/>
    <m/>
    <m/>
    <m/>
    <m/>
    <m/>
    <m/>
    <n v="1"/>
  </r>
  <r>
    <x v="293"/>
    <x v="0"/>
    <x v="21"/>
    <x v="0"/>
    <x v="7"/>
    <m/>
    <x v="0"/>
    <m/>
    <m/>
    <m/>
    <m/>
    <m/>
    <m/>
    <m/>
    <n v="1"/>
  </r>
  <r>
    <x v="294"/>
    <x v="0"/>
    <x v="21"/>
    <x v="0"/>
    <x v="7"/>
    <m/>
    <x v="0"/>
    <m/>
    <m/>
    <m/>
    <m/>
    <m/>
    <m/>
    <m/>
    <n v="1"/>
  </r>
  <r>
    <x v="295"/>
    <x v="0"/>
    <x v="21"/>
    <x v="0"/>
    <x v="7"/>
    <m/>
    <x v="0"/>
    <m/>
    <m/>
    <m/>
    <m/>
    <m/>
    <m/>
    <m/>
    <n v="1"/>
  </r>
  <r>
    <x v="296"/>
    <x v="0"/>
    <x v="21"/>
    <x v="0"/>
    <x v="7"/>
    <m/>
    <x v="0"/>
    <m/>
    <m/>
    <m/>
    <m/>
    <m/>
    <m/>
    <m/>
    <n v="1"/>
  </r>
  <r>
    <x v="297"/>
    <x v="0"/>
    <x v="21"/>
    <x v="0"/>
    <x v="7"/>
    <m/>
    <x v="0"/>
    <m/>
    <m/>
    <m/>
    <m/>
    <m/>
    <m/>
    <m/>
    <n v="1"/>
  </r>
  <r>
    <x v="298"/>
    <x v="0"/>
    <x v="21"/>
    <x v="0"/>
    <x v="7"/>
    <m/>
    <x v="0"/>
    <m/>
    <m/>
    <m/>
    <m/>
    <m/>
    <m/>
    <m/>
    <n v="1"/>
  </r>
  <r>
    <x v="299"/>
    <x v="0"/>
    <x v="21"/>
    <x v="0"/>
    <x v="7"/>
    <m/>
    <x v="0"/>
    <m/>
    <m/>
    <m/>
    <m/>
    <m/>
    <m/>
    <m/>
    <n v="1"/>
  </r>
  <r>
    <x v="300"/>
    <x v="0"/>
    <x v="21"/>
    <x v="0"/>
    <x v="7"/>
    <m/>
    <x v="0"/>
    <m/>
    <m/>
    <m/>
    <m/>
    <m/>
    <m/>
    <m/>
    <n v="1"/>
  </r>
  <r>
    <x v="301"/>
    <x v="0"/>
    <x v="21"/>
    <x v="0"/>
    <x v="7"/>
    <m/>
    <x v="0"/>
    <m/>
    <m/>
    <m/>
    <m/>
    <m/>
    <m/>
    <m/>
    <n v="1"/>
  </r>
  <r>
    <x v="302"/>
    <x v="0"/>
    <x v="21"/>
    <x v="0"/>
    <x v="7"/>
    <m/>
    <x v="0"/>
    <m/>
    <m/>
    <m/>
    <m/>
    <m/>
    <m/>
    <m/>
    <n v="1"/>
  </r>
  <r>
    <x v="303"/>
    <x v="0"/>
    <x v="21"/>
    <x v="0"/>
    <x v="7"/>
    <m/>
    <x v="0"/>
    <m/>
    <m/>
    <m/>
    <m/>
    <m/>
    <m/>
    <m/>
    <n v="1"/>
  </r>
  <r>
    <x v="304"/>
    <x v="0"/>
    <x v="22"/>
    <x v="0"/>
    <x v="7"/>
    <m/>
    <x v="0"/>
    <m/>
    <m/>
    <m/>
    <m/>
    <m/>
    <m/>
    <m/>
    <n v="1"/>
  </r>
  <r>
    <x v="305"/>
    <x v="0"/>
    <x v="22"/>
    <x v="0"/>
    <x v="7"/>
    <m/>
    <x v="0"/>
    <m/>
    <m/>
    <m/>
    <m/>
    <m/>
    <m/>
    <m/>
    <n v="1"/>
  </r>
  <r>
    <x v="306"/>
    <x v="0"/>
    <x v="22"/>
    <x v="0"/>
    <x v="7"/>
    <m/>
    <x v="0"/>
    <m/>
    <m/>
    <m/>
    <m/>
    <m/>
    <m/>
    <m/>
    <n v="1"/>
  </r>
  <r>
    <x v="307"/>
    <x v="0"/>
    <x v="22"/>
    <x v="0"/>
    <x v="7"/>
    <m/>
    <x v="0"/>
    <m/>
    <m/>
    <m/>
    <m/>
    <m/>
    <m/>
    <m/>
    <n v="1"/>
  </r>
  <r>
    <x v="308"/>
    <x v="0"/>
    <x v="22"/>
    <x v="0"/>
    <x v="7"/>
    <m/>
    <x v="0"/>
    <m/>
    <m/>
    <m/>
    <m/>
    <m/>
    <m/>
    <m/>
    <n v="1"/>
  </r>
  <r>
    <x v="309"/>
    <x v="0"/>
    <x v="22"/>
    <x v="0"/>
    <x v="7"/>
    <m/>
    <x v="0"/>
    <m/>
    <m/>
    <m/>
    <m/>
    <m/>
    <m/>
    <m/>
    <n v="1"/>
  </r>
  <r>
    <x v="310"/>
    <x v="0"/>
    <x v="22"/>
    <x v="0"/>
    <x v="7"/>
    <m/>
    <x v="0"/>
    <m/>
    <m/>
    <m/>
    <m/>
    <m/>
    <m/>
    <m/>
    <n v="1"/>
  </r>
  <r>
    <x v="311"/>
    <x v="0"/>
    <x v="22"/>
    <x v="0"/>
    <x v="7"/>
    <m/>
    <x v="0"/>
    <m/>
    <m/>
    <m/>
    <m/>
    <m/>
    <m/>
    <m/>
    <n v="1"/>
  </r>
  <r>
    <x v="312"/>
    <x v="0"/>
    <x v="22"/>
    <x v="0"/>
    <x v="7"/>
    <m/>
    <x v="0"/>
    <m/>
    <m/>
    <m/>
    <m/>
    <m/>
    <m/>
    <m/>
    <n v="1"/>
  </r>
  <r>
    <x v="313"/>
    <x v="0"/>
    <x v="22"/>
    <x v="0"/>
    <x v="7"/>
    <m/>
    <x v="0"/>
    <m/>
    <m/>
    <m/>
    <m/>
    <m/>
    <m/>
    <m/>
    <n v="1"/>
  </r>
  <r>
    <x v="314"/>
    <x v="0"/>
    <x v="23"/>
    <x v="0"/>
    <x v="7"/>
    <m/>
    <x v="0"/>
    <m/>
    <m/>
    <m/>
    <m/>
    <m/>
    <m/>
    <m/>
    <n v="1"/>
  </r>
  <r>
    <x v="315"/>
    <x v="0"/>
    <x v="23"/>
    <x v="0"/>
    <x v="7"/>
    <m/>
    <x v="0"/>
    <m/>
    <m/>
    <m/>
    <m/>
    <m/>
    <m/>
    <m/>
    <n v="1"/>
  </r>
  <r>
    <x v="316"/>
    <x v="0"/>
    <x v="23"/>
    <x v="0"/>
    <x v="7"/>
    <m/>
    <x v="0"/>
    <m/>
    <m/>
    <m/>
    <m/>
    <m/>
    <m/>
    <m/>
    <n v="1"/>
  </r>
  <r>
    <x v="317"/>
    <x v="0"/>
    <x v="23"/>
    <x v="0"/>
    <x v="7"/>
    <m/>
    <x v="0"/>
    <m/>
    <m/>
    <m/>
    <m/>
    <m/>
    <m/>
    <m/>
    <n v="1"/>
  </r>
  <r>
    <x v="318"/>
    <x v="0"/>
    <x v="23"/>
    <x v="0"/>
    <x v="7"/>
    <m/>
    <x v="0"/>
    <m/>
    <m/>
    <m/>
    <m/>
    <m/>
    <m/>
    <m/>
    <n v="1"/>
  </r>
  <r>
    <x v="319"/>
    <x v="0"/>
    <x v="23"/>
    <x v="0"/>
    <x v="7"/>
    <m/>
    <x v="0"/>
    <m/>
    <m/>
    <m/>
    <m/>
    <m/>
    <m/>
    <m/>
    <n v="1"/>
  </r>
  <r>
    <x v="320"/>
    <x v="0"/>
    <x v="23"/>
    <x v="0"/>
    <x v="7"/>
    <m/>
    <x v="0"/>
    <m/>
    <m/>
    <m/>
    <m/>
    <m/>
    <m/>
    <m/>
    <n v="1"/>
  </r>
  <r>
    <x v="321"/>
    <x v="0"/>
    <x v="23"/>
    <x v="0"/>
    <x v="7"/>
    <m/>
    <x v="0"/>
    <m/>
    <m/>
    <m/>
    <m/>
    <m/>
    <m/>
    <m/>
    <n v="1"/>
  </r>
  <r>
    <x v="322"/>
    <x v="0"/>
    <x v="23"/>
    <x v="0"/>
    <x v="7"/>
    <m/>
    <x v="0"/>
    <m/>
    <m/>
    <m/>
    <m/>
    <m/>
    <m/>
    <m/>
    <n v="1"/>
  </r>
  <r>
    <x v="323"/>
    <x v="0"/>
    <x v="23"/>
    <x v="0"/>
    <x v="7"/>
    <m/>
    <x v="0"/>
    <m/>
    <m/>
    <m/>
    <m/>
    <m/>
    <m/>
    <m/>
    <n v="1"/>
  </r>
  <r>
    <x v="324"/>
    <x v="0"/>
    <x v="23"/>
    <x v="0"/>
    <x v="7"/>
    <m/>
    <x v="0"/>
    <m/>
    <m/>
    <m/>
    <m/>
    <m/>
    <m/>
    <m/>
    <n v="1"/>
  </r>
  <r>
    <x v="325"/>
    <x v="0"/>
    <x v="23"/>
    <x v="0"/>
    <x v="7"/>
    <m/>
    <x v="0"/>
    <m/>
    <m/>
    <m/>
    <m/>
    <m/>
    <m/>
    <m/>
    <n v="1"/>
  </r>
  <r>
    <x v="326"/>
    <x v="0"/>
    <x v="23"/>
    <x v="0"/>
    <x v="7"/>
    <m/>
    <x v="0"/>
    <m/>
    <m/>
    <m/>
    <m/>
    <m/>
    <m/>
    <m/>
    <n v="1"/>
  </r>
  <r>
    <x v="327"/>
    <x v="0"/>
    <x v="23"/>
    <x v="0"/>
    <x v="7"/>
    <m/>
    <x v="0"/>
    <m/>
    <m/>
    <m/>
    <m/>
    <m/>
    <m/>
    <m/>
    <n v="1"/>
  </r>
  <r>
    <x v="328"/>
    <x v="0"/>
    <x v="23"/>
    <x v="0"/>
    <x v="7"/>
    <m/>
    <x v="0"/>
    <m/>
    <m/>
    <m/>
    <m/>
    <m/>
    <m/>
    <m/>
    <n v="1"/>
  </r>
  <r>
    <x v="329"/>
    <x v="0"/>
    <x v="23"/>
    <x v="0"/>
    <x v="7"/>
    <m/>
    <x v="0"/>
    <m/>
    <m/>
    <m/>
    <m/>
    <m/>
    <m/>
    <m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0">
  <r>
    <s v="George Garcia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James Johnson"/>
    <s v="Churned"/>
    <x v="0"/>
    <d v="2019-03-01T00:00: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hn Williams"/>
    <s v="Churned"/>
    <x v="0"/>
    <d v="2019-08-01T00:00: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bert Jones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Michael Brown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Mary Davis"/>
    <s v="Churned"/>
    <x v="0"/>
    <d v="2020-09-01T00:00: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s v="William Miller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David Wilson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Joseph Moore"/>
    <s v="Churned"/>
    <x v="0"/>
    <d v="2019-09-01T00:00: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Richard Taylor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Charles Anderson"/>
    <s v="Active"/>
    <x v="0"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Thomas Thomas"/>
    <s v="Churned"/>
    <x v="1"/>
    <d v="2019-10-01T00:00:0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Christopher Jackson"/>
    <s v="Churned"/>
    <x v="1"/>
    <d v="2019-04-01T00:00:0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niel White"/>
    <s v="Churned"/>
    <x v="1"/>
    <d v="2019-06-01T00:00:0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izabeth Harris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Matthew Martin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Patricia Thompson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Brian Smith"/>
    <s v="Churned"/>
    <x v="1"/>
    <d v="2019-11-01T00:00:0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s v="Jennifer Martinez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Linda Robinson"/>
    <s v="Churned"/>
    <x v="1"/>
    <d v="2019-05-01T00:00:0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hony Clark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Barbara Rodriguez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Donald Lewis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Paul Lee"/>
    <s v="Active"/>
    <x v="1"/>
    <m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Mark Walker"/>
    <s v="Churned"/>
    <x v="2"/>
    <d v="2020-03-01T00:00:0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s v="Andrew Hall"/>
    <s v="Active"/>
    <x v="2"/>
    <m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Edward Allen"/>
    <s v="Churned"/>
    <x v="2"/>
    <d v="2019-10-01T00:00:00"/>
    <n v="0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Steven Young"/>
    <s v="Churned"/>
    <x v="2"/>
    <d v="2020-10-01T00:00:0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s v="Kenneth Hernandez"/>
    <s v="Churned"/>
    <x v="2"/>
    <d v="2020-09-01T00:00:0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s v="Margaret King"/>
    <s v="Churned"/>
    <x v="2"/>
    <d v="2020-06-01T00:00:00"/>
    <n v="0"/>
    <n v="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s v="Joshua Wright"/>
    <s v="Churned"/>
    <x v="2"/>
    <d v="2019-09-01T00:00:0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Kevin Lopez"/>
    <s v="Churned"/>
    <x v="2"/>
    <d v="2020-05-01T00:00:00"/>
    <n v="0"/>
    <n v="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s v="Brian Hill"/>
    <s v="Active"/>
    <x v="2"/>
    <m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Susan Scott"/>
    <s v="Active"/>
    <x v="2"/>
    <m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Dorothy Green"/>
    <s v="Churned"/>
    <x v="2"/>
    <d v="2020-05-01T00:00:00"/>
    <n v="0"/>
    <n v="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s v="Ronald Adams"/>
    <s v="Churned"/>
    <x v="2"/>
    <d v="2020-05-01T00:00:00"/>
    <n v="0"/>
    <n v="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s v="Sarah Baker"/>
    <s v="Active"/>
    <x v="2"/>
    <m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Timothy Gonzalez"/>
    <s v="Churned"/>
    <x v="3"/>
    <d v="2019-11-01T00:00:00"/>
    <n v="0"/>
    <n v="0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s v="Jessica Nelson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Jason Carter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Helen Mitchell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Nancy Perez"/>
    <s v="Churned"/>
    <x v="3"/>
    <d v="2019-09-01T00:00:00"/>
    <n v="0"/>
    <n v="0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Betty Roberts"/>
    <s v="Churned"/>
    <x v="3"/>
    <d v="2020-04-01T00:00:0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s v="Karen Turner"/>
    <s v="Churned"/>
    <x v="3"/>
    <d v="2019-06-01T00:00:0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effrey Phillips"/>
    <s v="Churned"/>
    <x v="3"/>
    <d v="2020-04-01T00:00:0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s v="Lisa Campbell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Ryan Parker"/>
    <s v="Churned"/>
    <x v="3"/>
    <d v="2020-01-01T00:00:0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s v="Jacob Evans"/>
    <s v="Churned"/>
    <x v="3"/>
    <d v="2020-01-01T00:00:0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s v="Frank Edwards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Gary Collins"/>
    <s v="Churned"/>
    <x v="3"/>
    <d v="2019-08-01T00:00:0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holas Stewart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Anna Sanchez"/>
    <s v="Active"/>
    <x v="3"/>
    <m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Eric Morris"/>
    <s v="Churned"/>
    <x v="4"/>
    <d v="2019-10-01T00:00:00"/>
    <n v="0"/>
    <n v="0"/>
    <n v="0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Sandra Rogers"/>
    <s v="Churned"/>
    <x v="4"/>
    <d v="2019-08-01T00:00:0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ephen Reed"/>
    <s v="Churned"/>
    <x v="4"/>
    <d v="2020-07-01T00:00:0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s v="Emily Cook"/>
    <s v="Active"/>
    <x v="4"/>
    <m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Ashley Morgan"/>
    <s v="Active"/>
    <x v="4"/>
    <m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Jonathan Bell"/>
    <s v="Churned"/>
    <x v="4"/>
    <d v="2019-09-01T00:00:0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Kimberly Murphy"/>
    <s v="Churned"/>
    <x v="4"/>
    <d v="2020-05-01T00:00:0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s v="Donna Bailey"/>
    <s v="Churned"/>
    <x v="4"/>
    <d v="2020-07-01T00:00:0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s v="Ruth Rivera"/>
    <s v="Active"/>
    <x v="4"/>
    <m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Carol Cooper"/>
    <s v="Active"/>
    <x v="4"/>
    <m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Michelle Richardson"/>
    <s v="Churned"/>
    <x v="4"/>
    <d v="2020-02-01T00:00:0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s v="Larry Cox"/>
    <s v="Active"/>
    <x v="4"/>
    <m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Laura Howard"/>
    <s v="Active"/>
    <x v="4"/>
    <m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Amanda Ward"/>
    <s v="Churned"/>
    <x v="5"/>
    <d v="2019-12-01T00:00:0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Justin Torres"/>
    <s v="Churned"/>
    <x v="5"/>
    <d v="2019-09-01T00:00:0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Raymond Peterson"/>
    <s v="Churned"/>
    <x v="5"/>
    <d v="2020-02-01T00:00:0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s v="Scott Gray"/>
    <s v="Churned"/>
    <x v="5"/>
    <d v="2020-09-01T00:00:0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s v="Samuel Ramirez"/>
    <s v="Active"/>
    <x v="5"/>
    <m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Brandon James"/>
    <s v="Active"/>
    <x v="5"/>
    <m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Melissa Watson"/>
    <s v="Active"/>
    <x v="5"/>
    <m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Benjamin Brooks"/>
    <s v="Active"/>
    <x v="5"/>
    <m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Rebecca Kelly"/>
    <s v="Churned"/>
    <x v="5"/>
    <d v="2020-12-01T00:00:0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s v="Deborah Sanders"/>
    <s v="Active"/>
    <x v="5"/>
    <m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Stephanie Price"/>
    <s v="Active"/>
    <x v="5"/>
    <m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Sharon Bennett"/>
    <s v="Churned"/>
    <x v="6"/>
    <d v="2020-05-01T00:00:00"/>
    <n v="0"/>
    <n v="0"/>
    <n v="0"/>
    <n v="0"/>
    <n v="0"/>
    <n v="0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s v="Kathleen Wood"/>
    <s v="Churned"/>
    <x v="6"/>
    <d v="2020-01-01T00:00:0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s v="Cynthia Barnes"/>
    <s v="Churned"/>
    <x v="6"/>
    <d v="2020-08-01T00:00:0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s v="Gregory Ross"/>
    <s v="Active"/>
    <x v="6"/>
    <m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Jack Henderson"/>
    <s v="Active"/>
    <x v="6"/>
    <m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Amy Coleman"/>
    <s v="Churned"/>
    <x v="6"/>
    <d v="2020-02-01T00:00:00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s v="Henry Jenkins"/>
    <s v="Churned"/>
    <x v="6"/>
    <d v="2020-02-01T00:00:00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s v="Shirley Perry"/>
    <s v="Active"/>
    <x v="6"/>
    <m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Patrick Powell"/>
    <s v="Active"/>
    <x v="6"/>
    <m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Alexander Long"/>
    <s v="Churned"/>
    <x v="6"/>
    <d v="2020-11-01T00:00:0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s v="Emma Patterson"/>
    <s v="Active"/>
    <x v="6"/>
    <m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Angela Hughes"/>
    <s v="Active"/>
    <x v="7"/>
    <m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Catherine Flores"/>
    <s v="Churned"/>
    <x v="7"/>
    <d v="2019-09-01T00:00:0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Virginia Washington"/>
    <s v="Active"/>
    <x v="7"/>
    <m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Katherine Butler"/>
    <s v="Active"/>
    <x v="7"/>
    <m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</r>
  <r>
    <s v="Walter Simmons"/>
    <s v="Churned"/>
    <x v="8"/>
    <d v="2020-09-01T00:00:0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</r>
  <r>
    <s v="Dennis Foster"/>
    <s v="Active"/>
    <x v="8"/>
    <m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</r>
  <r>
    <s v="Jerry Gonzales"/>
    <s v="Churned"/>
    <x v="8"/>
    <d v="2020-01-01T00:00:0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</r>
  <r>
    <s v="Brenda Bryant"/>
    <s v="Active"/>
    <x v="8"/>
    <m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</r>
  <r>
    <s v="Pamela Alexander"/>
    <s v="Churned"/>
    <x v="8"/>
    <d v="2019-11-01T00:00:0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Frances Russell"/>
    <s v="Churned"/>
    <x v="8"/>
    <d v="2020-09-01T00:00:0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  <n v="0"/>
  </r>
  <r>
    <s v="Tyler Griffin"/>
    <s v="Active"/>
    <x v="8"/>
    <m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</r>
  <r>
    <s v="Nicole Diaz"/>
    <s v="Active"/>
    <x v="8"/>
    <m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</r>
  <r>
    <s v="Christine Hayes"/>
    <s v="Churned"/>
    <x v="9"/>
    <d v="2020-11-01T00:00:0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0"/>
    <n v="0"/>
  </r>
  <r>
    <s v="Aaron Myers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Peter Ford"/>
    <s v="Churned"/>
    <x v="9"/>
    <d v="2020-03-01T00:00:00"/>
    <n v="0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0"/>
    <n v="0"/>
    <n v="0"/>
  </r>
  <r>
    <s v="Samantha Hamilton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Evelyn Graham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Jose Sullivan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Rachel Wallace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Alice Woods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Douglas Cole"/>
    <s v="Churned"/>
    <x v="9"/>
    <d v="2020-07-01T00:00:0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</r>
  <r>
    <s v="Janet West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Carolyn Jordan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Adam Owens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Debra Reynolds"/>
    <s v="Churned"/>
    <x v="9"/>
    <d v="2020-10-01T00:00:0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0"/>
    <n v="0"/>
    <n v="0"/>
  </r>
  <r>
    <s v="Harold Fisher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Nathan Ellis"/>
    <s v="Active"/>
    <x v="9"/>
    <m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</r>
  <r>
    <s v="Martha Harrison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Maria Gibson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Marie Mcdonald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Zachary Cruz"/>
    <s v="Churned"/>
    <x v="10"/>
    <d v="2020-04-01T00:00:0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0"/>
    <n v="0"/>
  </r>
  <r>
    <s v="Arthur Marshall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Heather Ortiz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Diane Gomez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Julie Murray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Joyce Freeman"/>
    <s v="Churned"/>
    <x v="10"/>
    <d v="2020-05-01T00:00:0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</r>
  <r>
    <s v="Carl Wells"/>
    <s v="Churned"/>
    <x v="10"/>
    <d v="2020-12-01T00:00:0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0"/>
  </r>
  <r>
    <s v="Grace Webb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Victoria Simpson"/>
    <s v="Active"/>
    <x v="10"/>
    <m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</r>
  <r>
    <s v="Albert Stevens"/>
    <s v="Churned"/>
    <x v="10"/>
    <d v="2020-05-01T00:00:0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</r>
  <r>
    <s v="Rose Tucker"/>
    <s v="Active"/>
    <x v="11"/>
    <m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</r>
  <r>
    <s v="Joan Porter"/>
    <s v="Active"/>
    <x v="11"/>
    <m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</r>
  <r>
    <s v="Kyle Hunter"/>
    <s v="Active"/>
    <x v="11"/>
    <m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</r>
  <r>
    <s v="Christina Hicks"/>
    <s v="Active"/>
    <x v="11"/>
    <m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</r>
  <r>
    <s v="Kelly Crawford"/>
    <s v="Active"/>
    <x v="11"/>
    <m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</r>
  <r>
    <s v="Ann Henry"/>
    <s v="Active"/>
    <x v="11"/>
    <m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</r>
  <r>
    <s v="Lauren Boyd"/>
    <s v="Churned"/>
    <x v="12"/>
    <d v="2020-09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</r>
  <r>
    <s v="Doris Mason"/>
    <s v="Active"/>
    <x v="12"/>
    <d v="2020-03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Julia Morales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Jean Kennedy"/>
    <s v="Churned"/>
    <x v="12"/>
    <d v="2020-06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</r>
  <r>
    <s v="Lawrence Warren"/>
    <s v="Churned"/>
    <x v="12"/>
    <d v="2020-10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</r>
  <r>
    <s v="Judith Dixon"/>
    <s v="Churned"/>
    <x v="12"/>
    <d v="2020-06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</r>
  <r>
    <s v="Olivia Ramos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Kathryn Reyes"/>
    <s v="Churned"/>
    <x v="12"/>
    <d v="2020-12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0"/>
  </r>
  <r>
    <s v="Joe Burns"/>
    <s v="Churned"/>
    <x v="12"/>
    <d v="2020-12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0"/>
  </r>
  <r>
    <s v="Mildred Gordon"/>
    <s v="Churned"/>
    <x v="12"/>
    <d v="2020-11-01T00:00:0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n v="0"/>
  </r>
  <r>
    <s v="Willie Shaw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Gerald Holmes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Lillian Rice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Roger Robertson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Cheryl Hunt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Megan Black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Jeremy Daniels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Keith Palmer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Hannah Mills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Andrea Nichols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Ethan Grant"/>
    <s v="Active"/>
    <x v="12"/>
    <m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</r>
  <r>
    <s v="Sara Knight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Terry Ferguson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Jacqueline Rose"/>
    <s v="Churned"/>
    <x v="13"/>
    <d v="2020-04-01T00:00:0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Christian Stone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Harry Hawkins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Jesse Dunn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Sean Perkins"/>
    <s v="Churned"/>
    <x v="13"/>
    <d v="2020-12-01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</r>
  <r>
    <s v="Teresa Hudson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Ralph Spencer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Austin Gardner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Gloria Stephens"/>
    <s v="Active"/>
    <x v="13"/>
    <m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</r>
  <r>
    <s v="Janice Payne"/>
    <s v="Active"/>
    <x v="14"/>
    <m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</r>
  <r>
    <s v="Roy Pierce"/>
    <s v="Active"/>
    <x v="14"/>
    <m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</r>
  <r>
    <s v="Theresa Berry"/>
    <s v="Churned"/>
    <x v="14"/>
    <d v="2020-08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0"/>
    <n v="0"/>
  </r>
  <r>
    <s v="Louis Matthews"/>
    <s v="Churned"/>
    <x v="14"/>
    <d v="2020-08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0"/>
    <n v="0"/>
  </r>
  <r>
    <s v="Noah Arnold"/>
    <s v="Churned"/>
    <x v="14"/>
    <d v="2020-06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</r>
  <r>
    <s v="Bruce Wagner"/>
    <s v="Active"/>
    <x v="14"/>
    <m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</r>
  <r>
    <s v="Billy Willis"/>
    <s v="Active"/>
    <x v="14"/>
    <m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</r>
  <r>
    <s v="Judy Ray"/>
    <s v="Churned"/>
    <x v="14"/>
    <d v="2020-06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</r>
  <r>
    <s v="Bryan Watkins"/>
    <s v="Churned"/>
    <x v="14"/>
    <d v="2020-06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</r>
  <r>
    <s v="Madison Olson"/>
    <s v="Active"/>
    <x v="14"/>
    <m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</r>
  <r>
    <s v="Eugene Carroll"/>
    <s v="Churned"/>
    <x v="14"/>
    <d v="2020-09-01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</r>
  <r>
    <s v="Beverly Duncan"/>
    <s v="Churned"/>
    <x v="15"/>
    <d v="2020-09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0"/>
  </r>
  <r>
    <s v="Jordan Snyder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Denise Hart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Jane Cunningham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Marilyn Bradley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Amber Lane"/>
    <s v="Churned"/>
    <x v="15"/>
    <d v="2020-06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Dylan Andrews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Danielle Ruiz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Abigail Harper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Charlotte Fox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Diana Riley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Brittany Armstrong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Russell Carpenter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Natalie Weaver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Wayne Greene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Irene Lawrence"/>
    <s v="Active"/>
    <x v="15"/>
    <m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s v="Ruby Elliott"/>
    <s v="Churned"/>
    <x v="16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</r>
  <r>
    <s v="Annie Chavez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Sophia Sims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Alan Austin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Juan Peters"/>
    <s v="Churned"/>
    <x v="16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</r>
  <r>
    <s v="Gabriel Kelley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Howard Franklin"/>
    <s v="Churned"/>
    <x v="16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</r>
  <r>
    <s v="Fred Lawson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Vincent Fields"/>
    <s v="Churned"/>
    <x v="16"/>
    <d v="2020-10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</r>
  <r>
    <s v="Lori Gutierrez"/>
    <s v="Churned"/>
    <x v="16"/>
    <d v="2020-08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</r>
  <r>
    <s v="Philip Ryan"/>
    <s v="Churned"/>
    <x v="16"/>
    <d v="2020-10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</r>
  <r>
    <s v="Kayla Schmidt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Alexis Carr"/>
    <s v="Churned"/>
    <x v="16"/>
    <d v="2020-06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s v="Tiffany Vasquez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Florence Castillo"/>
    <s v="Churned"/>
    <x v="16"/>
    <d v="2020-11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</r>
  <r>
    <s v="Isabella Wheeler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Kathy Chapman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Louise Oliver"/>
    <s v="Churned"/>
    <x v="16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</r>
  <r>
    <s v="Logan Montgomery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Lois Richards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Tammy Williamson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Crystal Johnston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Randy Banks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Bonnie Meyer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Phyllis Bishop"/>
    <s v="Active"/>
    <x v="16"/>
    <m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</r>
  <r>
    <s v="Anne Mccoy"/>
    <s v="Churned"/>
    <x v="17"/>
    <d v="2020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</r>
  <r>
    <s v="Taylor Howell"/>
    <s v="Churned"/>
    <x v="17"/>
    <d v="2020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</r>
  <r>
    <s v="Victor Alvarez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Bobby Morrison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Erin Hansen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Johnny Fernandez"/>
    <s v="Churned"/>
    <x v="17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</r>
  <r>
    <s v="Phillip Garza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Martin Harvey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Josephine Little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Alyssa Burton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Bradley Stanley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Ella Nguyen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Shawn George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Clarence Jacobs"/>
    <s v="Churned"/>
    <x v="17"/>
    <d v="2020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</r>
  <r>
    <s v="Travis Reid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Ernest Kim"/>
    <s v="Churned"/>
    <x v="17"/>
    <d v="2020-11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</r>
  <r>
    <s v="Stanley Fuller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Allison Lynch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Craig Dean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Shannon Gilbert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Elijah Garrett"/>
    <s v="Active"/>
    <x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</r>
  <r>
    <s v="Edna Romero"/>
    <s v="Churned"/>
    <x v="17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</r>
  <r>
    <s v="Peggy Welch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Tina Larson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Leonard Frazier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Robin Burke"/>
    <s v="Churned"/>
    <x v="18"/>
    <d v="2020-11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</r>
  <r>
    <s v="Dawn Hanson"/>
    <s v="Churned"/>
    <x v="18"/>
    <d v="2020-11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</r>
  <r>
    <s v="Carlos Day"/>
    <s v="Churned"/>
    <x v="18"/>
    <d v="2020-09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Earl Mendoza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Eleanor Moreno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Jimmy Bowman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Francis Medina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Cody Fowler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Caleb Brewer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Mason Hoffman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Rita Carlson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Danny Silva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Isaac Pearson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Audrey Holland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Todd Douglas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Wanda Fleming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Clara Jensen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Ethel Vargas"/>
    <s v="Active"/>
    <x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</r>
  <r>
    <s v="Paula Byrd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Cameron Davidson"/>
    <s v="Churned"/>
    <x v="19"/>
    <d v="2020-11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</r>
  <r>
    <s v="Norma Hopkins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Dale May"/>
    <s v="Churned"/>
    <x v="19"/>
    <d v="2020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</r>
  <r>
    <s v="Ellen Terry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Luis Herrera"/>
    <s v="Churned"/>
    <x v="19"/>
    <d v="2020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</r>
  <r>
    <s v="Alex Wade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Marjorie Soto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Luke Walters"/>
    <s v="Churned"/>
    <x v="19"/>
    <d v="2020-11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</r>
  <r>
    <s v="Jamie Curtis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Nathaniel Neal"/>
    <s v="Active"/>
    <x v="19"/>
    <d v="2020-10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Allen Caldwell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Leslie Lowe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Joel Jennings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Evan Barnett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Edith Graves"/>
    <s v="Churned"/>
    <x v="19"/>
    <d v="2020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</r>
  <r>
    <s v="Connie Jimenez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Eva Horton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Gladys Shelton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Carrie Barrett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Ava Obrien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Frederick Castro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Wendy Sutton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Hazel Gregory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Valerie Mckinney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Curtis Lucas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Elaine Miles"/>
    <s v="Active"/>
    <x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</r>
  <r>
    <s v="Courtney Craig"/>
    <s v="Active"/>
    <x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</r>
  <r>
    <s v="Esther Rodriquez"/>
    <s v="Active"/>
    <x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</r>
  <r>
    <s v="Cindy Chambers"/>
    <s v="Active"/>
    <x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</r>
  <r>
    <s v="Vanessa Holt"/>
    <s v="Active"/>
    <x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</r>
  <r>
    <s v="Brianna Lambert"/>
    <s v="Active"/>
    <x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</r>
  <r>
    <s v="Lucas Fletcher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Norman Watts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Marvin Bates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Tracy Hale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Tony Rhodes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Monica Pena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Antonio Beck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Glenn Newman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Melanie Haynes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Jasmine Mcdaniel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Rodney Mendez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Theodore Bush"/>
    <s v="Active"/>
    <x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Melvin Vaughn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Alfred Parks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Edwin Dawson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Steve Santiago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Chad Norris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Sylvia Hardy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Jackson Love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April Steele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Sheila Curry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Adrian Powers"/>
    <s v="Active"/>
    <x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Katie Schultz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Hunter Barker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lexandra Guzman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ngel Page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Lee Munoz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arcus Ball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Derek Keller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Erica Chandler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Sherry Weber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effery Leonard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ia Walsh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aroline Lyons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esus Ramsey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Herbert Wolfe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Ian Schneider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Leah Mullins"/>
    <s v="Active"/>
    <x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clientes_registro" cacheId="4" applyNumberFormats="0" applyBorderFormats="0" applyFontFormats="0" applyPatternFormats="0" applyAlignmentFormats="0" applyWidthHeightFormats="1" dataCaption="Valores" grandTotalCaption="Total" updatedVersion="6" minRefreshableVersion="3" useAutoFormatting="1" itemPrintTitles="1" createdVersion="6" indent="0" outline="1" outlineData="1" multipleFieldFilters="0" rowHeaderCaption="Mes de Registro">
  <location ref="A1:Z26" firstHeaderRow="0" firstDataRow="1" firstDataCol="1"/>
  <pivotFields count="28">
    <pivotField dataField="1" showAll="0"/>
    <pivotField showAll="0"/>
    <pivotField axis="axisRow" numFmtId="164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 sumSubtotal="1"/>
    <pivotField dataField="1" showAll="0" defaultSubtota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dataFields count="25">
    <dataField name="Nuevos Clientes" fld="0" subtotal="count" baseField="2" baseItem="0"/>
    <dataField name="01/2019 " fld="4" baseField="2" baseItem="0"/>
    <dataField name="02/2019 " fld="5" baseField="2" baseItem="0"/>
    <dataField name="03/2019 " fld="6" baseField="2" baseItem="0"/>
    <dataField name="04/2019 " fld="7" baseField="2" baseItem="2"/>
    <dataField name="05/2019 " fld="8" baseField="2" baseItem="2"/>
    <dataField name="06/2019 " fld="9" baseField="2" baseItem="2"/>
    <dataField name="07/2019 " fld="10" baseField="2" baseItem="2"/>
    <dataField name="08/2019 " fld="11" baseField="2" baseItem="2"/>
    <dataField name="09/2019 " fld="12" baseField="2" baseItem="2"/>
    <dataField name="10/2019 " fld="13" baseField="2" baseItem="2"/>
    <dataField name="11/2019 " fld="14" baseField="2" baseItem="2"/>
    <dataField name="12/2019 " fld="15" baseField="2" baseItem="2"/>
    <dataField name="01/2020 " fld="16" baseField="2" baseItem="2"/>
    <dataField name="02/2020 " fld="17" baseField="2" baseItem="2"/>
    <dataField name="03/2020 " fld="18" baseField="2" baseItem="2"/>
    <dataField name="04/2020 " fld="19" baseField="2" baseItem="2"/>
    <dataField name="05/2020" fld="20" baseField="2" baseItem="2"/>
    <dataField name="06/2020" fld="21" baseField="2" baseItem="2"/>
    <dataField name="07/2020" fld="22" baseField="2" baseItem="2"/>
    <dataField name="08/2020" fld="23" baseField="2" baseItem="2"/>
    <dataField name="09/2020" fld="24" baseField="2" baseItem="2"/>
    <dataField name="10/2020 " fld="25" baseField="2" baseItem="2"/>
    <dataField name="11/2020 " fld="26" baseField="2" baseItem="2"/>
    <dataField name="12/2020 " fld="27" baseField="2" baseItem="2"/>
  </dataFields>
  <formats count="21"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field="2" type="button" dataOnly="0" labelOnly="1" outline="0" axis="axisRow" fieldPosition="0"/>
    </format>
    <format dxfId="62">
      <pivotArea field="2" type="button" dataOnly="0" labelOnly="1" outline="0" axis="axisRow" fieldPosition="0"/>
    </format>
    <format dxfId="61">
      <pivotArea field="2" type="button" dataOnly="0" labelOnly="1" outline="0" axis="axisRow" fieldPosition="0"/>
    </format>
    <format dxfId="60">
      <pivotArea field="2" type="button" dataOnly="0" labelOnly="1" outline="0" axis="axisRow" fieldPosition="0"/>
    </format>
    <format dxfId="59">
      <pivotArea field="2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">
      <pivotArea dataOnly="0" labelOnly="1" outline="0" fieldPosition="0">
        <references count="1">
          <reference field="4294967294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5">
      <pivotArea dataOnly="0" labelOnly="1" outline="0" fieldPosition="0">
        <references count="1">
          <reference field="4294967294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dataOnly="0" outline="0" fieldPosition="0">
        <references count="1">
          <reference field="4294967294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0">
      <pivotArea dataOnly="0" labelOnly="1" outline="0" fieldPosition="0">
        <references count="1">
          <reference field="4294967294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9">
      <pivotArea dataOnly="0" labelOnly="1" outline="0" fieldPosition="0">
        <references count="1">
          <reference field="4294967294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dataOnly="0" labelOnly="1" outline="0" fieldPosition="0">
        <references count="1">
          <reference field="4294967294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7">
      <pivotArea dataOnly="0" labelOnly="1" grandRow="1" outline="0" fieldPosition="0"/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rimestre de Registro">
  <location ref="M3:N12" firstHeaderRow="1" firstDataRow="1" firstDataCol="1" rowPageCount="1" colPageCount="1"/>
  <pivotFields count="17">
    <pivotField dataField="1" showAll="0">
      <items count="331">
        <item x="100"/>
        <item x="184"/>
        <item x="110"/>
        <item x="313"/>
        <item x="195"/>
        <item x="126"/>
        <item x="266"/>
        <item x="85"/>
        <item x="316"/>
        <item x="204"/>
        <item x="305"/>
        <item x="106"/>
        <item x="271"/>
        <item x="234"/>
        <item x="226"/>
        <item x="65"/>
        <item x="181"/>
        <item x="81"/>
        <item x="152"/>
        <item x="25"/>
        <item x="317"/>
        <item x="87"/>
        <item x="132"/>
        <item x="51"/>
        <item x="217"/>
        <item x="193"/>
        <item x="20"/>
        <item x="298"/>
        <item x="311"/>
        <item x="118"/>
        <item x="56"/>
        <item x="255"/>
        <item x="163"/>
        <item x="280"/>
        <item x="21"/>
        <item x="72"/>
        <item x="42"/>
        <item x="176"/>
        <item x="171"/>
        <item x="220"/>
        <item x="215"/>
        <item x="227"/>
        <item x="70"/>
        <item x="94"/>
        <item x="32"/>
        <item x="17"/>
        <item x="291"/>
        <item x="187"/>
        <item x="170"/>
        <item x="173"/>
        <item x="250"/>
        <item x="261"/>
        <item x="123"/>
        <item x="244"/>
        <item x="61"/>
        <item x="325"/>
        <item x="109"/>
        <item x="279"/>
        <item x="88"/>
        <item x="308"/>
        <item x="10"/>
        <item x="185"/>
        <item x="147"/>
        <item x="157"/>
        <item x="130"/>
        <item x="99"/>
        <item x="12"/>
        <item x="289"/>
        <item x="258"/>
        <item x="230"/>
        <item x="249"/>
        <item x="276"/>
        <item x="287"/>
        <item x="235"/>
        <item x="213"/>
        <item x="285"/>
        <item x="78"/>
        <item x="263"/>
        <item x="13"/>
        <item x="183"/>
        <item x="253"/>
        <item x="7"/>
        <item x="243"/>
        <item x="74"/>
        <item x="111"/>
        <item x="178"/>
        <item x="92"/>
        <item x="320"/>
        <item x="186"/>
        <item x="120"/>
        <item x="22"/>
        <item x="59"/>
        <item x="134"/>
        <item x="34"/>
        <item x="107"/>
        <item x="182"/>
        <item x="245"/>
        <item x="275"/>
        <item x="238"/>
        <item x="26"/>
        <item x="306"/>
        <item x="286"/>
        <item x="246"/>
        <item x="237"/>
        <item x="14"/>
        <item x="228"/>
        <item x="264"/>
        <item x="55"/>
        <item x="86"/>
        <item x="52"/>
        <item x="321"/>
        <item x="221"/>
        <item x="232"/>
        <item x="288"/>
        <item x="153"/>
        <item x="259"/>
        <item x="175"/>
        <item x="277"/>
        <item x="274"/>
        <item x="103"/>
        <item x="206"/>
        <item x="96"/>
        <item x="248"/>
        <item x="48"/>
        <item x="199"/>
        <item x="281"/>
        <item x="197"/>
        <item x="49"/>
        <item x="0"/>
        <item x="144"/>
        <item x="278"/>
        <item x="299"/>
        <item x="164"/>
        <item x="124"/>
        <item x="79"/>
        <item x="151"/>
        <item x="112"/>
        <item x="158"/>
        <item x="283"/>
        <item x="119"/>
        <item x="40"/>
        <item x="82"/>
        <item x="327"/>
        <item x="198"/>
        <item x="315"/>
        <item x="328"/>
        <item x="191"/>
        <item x="254"/>
        <item x="207"/>
        <item x="80"/>
        <item x="310"/>
        <item x="47"/>
        <item x="156"/>
        <item x="1"/>
        <item x="269"/>
        <item x="179"/>
        <item x="108"/>
        <item x="165"/>
        <item x="301"/>
        <item x="39"/>
        <item x="136"/>
        <item x="323"/>
        <item x="44"/>
        <item x="18"/>
        <item x="149"/>
        <item x="93"/>
        <item x="159"/>
        <item x="38"/>
        <item x="326"/>
        <item x="247"/>
        <item x="128"/>
        <item x="141"/>
        <item x="273"/>
        <item x="2"/>
        <item x="222"/>
        <item x="57"/>
        <item x="177"/>
        <item x="104"/>
        <item x="8"/>
        <item x="225"/>
        <item x="30"/>
        <item x="122"/>
        <item x="196"/>
        <item x="138"/>
        <item x="172"/>
        <item x="135"/>
        <item x="121"/>
        <item x="66"/>
        <item x="43"/>
        <item x="90"/>
        <item x="77"/>
        <item x="140"/>
        <item x="208"/>
        <item x="314"/>
        <item x="203"/>
        <item x="150"/>
        <item x="131"/>
        <item x="28"/>
        <item x="31"/>
        <item x="58"/>
        <item x="129"/>
        <item x="63"/>
        <item x="64"/>
        <item x="133"/>
        <item x="137"/>
        <item x="329"/>
        <item x="318"/>
        <item x="241"/>
        <item x="272"/>
        <item x="145"/>
        <item x="19"/>
        <item x="45"/>
        <item x="210"/>
        <item x="211"/>
        <item x="201"/>
        <item x="168"/>
        <item x="209"/>
        <item x="292"/>
        <item x="265"/>
        <item x="268"/>
        <item x="174"/>
        <item x="319"/>
        <item x="29"/>
        <item x="115"/>
        <item x="116"/>
        <item x="180"/>
        <item x="267"/>
        <item x="24"/>
        <item x="114"/>
        <item x="224"/>
        <item x="294"/>
        <item x="5"/>
        <item x="251"/>
        <item x="15"/>
        <item x="148"/>
        <item x="300"/>
        <item x="71"/>
        <item x="304"/>
        <item x="324"/>
        <item x="4"/>
        <item x="62"/>
        <item x="142"/>
        <item x="297"/>
        <item x="41"/>
        <item x="189"/>
        <item x="113"/>
        <item x="270"/>
        <item x="50"/>
        <item x="98"/>
        <item x="169"/>
        <item x="262"/>
        <item x="293"/>
        <item x="139"/>
        <item x="95"/>
        <item x="16"/>
        <item x="84"/>
        <item x="23"/>
        <item x="260"/>
        <item x="239"/>
        <item x="101"/>
        <item x="202"/>
        <item x="223"/>
        <item x="216"/>
        <item x="105"/>
        <item x="162"/>
        <item x="214"/>
        <item x="67"/>
        <item x="73"/>
        <item x="9"/>
        <item x="252"/>
        <item x="3"/>
        <item x="242"/>
        <item x="302"/>
        <item x="146"/>
        <item x="35"/>
        <item x="127"/>
        <item x="166"/>
        <item x="192"/>
        <item x="188"/>
        <item x="60"/>
        <item x="46"/>
        <item x="102"/>
        <item x="69"/>
        <item x="53"/>
        <item x="154"/>
        <item x="36"/>
        <item x="68"/>
        <item x="160"/>
        <item x="236"/>
        <item x="76"/>
        <item x="229"/>
        <item x="312"/>
        <item x="322"/>
        <item x="83"/>
        <item x="194"/>
        <item x="233"/>
        <item x="75"/>
        <item x="54"/>
        <item x="307"/>
        <item x="27"/>
        <item x="33"/>
        <item x="309"/>
        <item x="212"/>
        <item x="218"/>
        <item x="161"/>
        <item x="155"/>
        <item x="303"/>
        <item x="167"/>
        <item x="11"/>
        <item x="205"/>
        <item x="37"/>
        <item x="240"/>
        <item x="256"/>
        <item x="296"/>
        <item x="295"/>
        <item x="231"/>
        <item x="97"/>
        <item x="284"/>
        <item x="290"/>
        <item x="219"/>
        <item x="125"/>
        <item x="200"/>
        <item x="89"/>
        <item x="91"/>
        <item x="257"/>
        <item x="190"/>
        <item x="282"/>
        <item x="6"/>
        <item x="143"/>
        <item x="117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hier="-1"/>
  </pageFields>
  <dataFields count="1">
    <dataField name="Nuevos Clientes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rimestre de registro" colHeaderCaption="Trimestre de abandono">
  <location ref="A3:K13" firstHeaderRow="1" firstDataRow="2" firstDataCol="1" rowPageCount="1" colPageCount="1"/>
  <pivotFields count="17">
    <pivotField dataField="1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 defaultSubtotal="0">
      <items count="2">
        <item h="1" x="1"/>
        <item x="0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10">
        <item x="1"/>
        <item x="5"/>
        <item x="2"/>
        <item x="4"/>
        <item x="6"/>
        <item x="8"/>
        <item x="3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" hier="-1"/>
  </pageFields>
  <dataFields count="1">
    <dataField name="Cuenta de Cliente" fld="0" subtotal="count" baseField="0" baseItem="0"/>
  </dataFields>
  <formats count="6">
    <format dxfId="5">
      <pivotArea type="origin" dataOnly="0" labelOnly="1" outline="0" fieldPosition="0"/>
    </format>
    <format dxfId="4">
      <pivotArea field="6" type="button" dataOnly="0" labelOnly="1" outline="0" axis="axisCol" fieldPosition="0"/>
    </format>
    <format dxfId="3">
      <pivotArea field="6" type="button" dataOnly="0" labelOnly="1" outline="0" axis="axisCol" fieldPosition="0"/>
    </format>
    <format dxfId="2">
      <pivotArea field="6" type="button" dataOnly="0" labelOnly="1" outline="0" axis="axisCol" fieldPosition="0"/>
    </format>
    <format dxfId="1">
      <pivotArea type="all" dataOnly="0" outline="0" fieldPosition="0"/>
    </format>
    <format dxfId="0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29">
    <queryTableFields count="28">
      <queryTableField id="1" name="Cliente" tableColumnId="1"/>
      <queryTableField id="2" name="Estado Cliente" tableColumnId="2"/>
      <queryTableField id="3" name="Mes Registro" tableColumnId="3"/>
      <queryTableField id="4" name="Mes de Abandono (Churn)" tableColumnId="4"/>
      <queryTableField id="5" name="1/2019" tableColumnId="5"/>
      <queryTableField id="6" name="2/2019" tableColumnId="6"/>
      <queryTableField id="7" name="3/2019" tableColumnId="7"/>
      <queryTableField id="8" name="4/2019" tableColumnId="8"/>
      <queryTableField id="9" name="5/2019" tableColumnId="9"/>
      <queryTableField id="10" name="6/2019" tableColumnId="10"/>
      <queryTableField id="11" name="7/2019" tableColumnId="11"/>
      <queryTableField id="12" name="8/2019" tableColumnId="12"/>
      <queryTableField id="13" name="9/2019" tableColumnId="13"/>
      <queryTableField id="14" name="10/2019" tableColumnId="14"/>
      <queryTableField id="15" name="11/2019" tableColumnId="15"/>
      <queryTableField id="16" name="12/2019" tableColumnId="16"/>
      <queryTableField id="17" name="1/2020" tableColumnId="17"/>
      <queryTableField id="18" name="2/2020" tableColumnId="18"/>
      <queryTableField id="19" name="3/2020" tableColumnId="19"/>
      <queryTableField id="20" name="4/2020" tableColumnId="20"/>
      <queryTableField id="21" name="5/2020" tableColumnId="21"/>
      <queryTableField id="22" name="6/2020" tableColumnId="22"/>
      <queryTableField id="23" name="7/2020" tableColumnId="23"/>
      <queryTableField id="24" name="8/2020" tableColumnId="24"/>
      <queryTableField id="25" name="9/2020" tableColumnId="25"/>
      <queryTableField id="26" name="10/2020" tableColumnId="26"/>
      <queryTableField id="27" name="11/2020" tableColumnId="27"/>
      <queryTableField id="28" name="12/2020" tableColumnId="28"/>
    </queryTableFields>
  </queryTableRefresh>
</queryTable>
</file>

<file path=xl/queryTables/queryTable2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Cliente" tableColumnId="33"/>
      <queryTableField id="2" name="Estado Cliente" tableColumnId="34"/>
      <queryTableField id="3" name="Mes Registro" tableColumnId="35"/>
      <queryTableField id="4" name="Validacion_churn" tableColumnId="36"/>
      <queryTableField id="5" name="registro_trimes" tableColumnId="37"/>
      <queryTableField id="6" name="Mes de Abandono (Churn)" tableColumnId="38"/>
      <queryTableField id="7" name="churn_trimes" tableColumnId="39"/>
      <queryTableField id="8" name="2019-T1" tableColumnId="40"/>
      <queryTableField id="9" name="2019-T2" tableColumnId="41"/>
      <queryTableField id="10" name="2019-T3" tableColumnId="42"/>
      <queryTableField id="11" name="2019-T4" tableColumnId="43"/>
      <queryTableField id="12" name="2020-T1" tableColumnId="44"/>
      <queryTableField id="13" name="2020-T2" tableColumnId="45"/>
      <queryTableField id="14" name="2020-T3" tableColumnId="46"/>
      <queryTableField id="15" name="2020-T4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3" name="retencion_por_mes" displayName="retencion_por_mes" ref="A1:AB331" tableType="queryTable" totalsRowShown="0" headerRowDxfId="108">
  <autoFilter ref="A1:AB331"/>
  <tableColumns count="28">
    <tableColumn id="1" uniqueName="1" name="Cliente" queryTableFieldId="1" dataDxfId="107"/>
    <tableColumn id="2" uniqueName="2" name="Estado Cliente" queryTableFieldId="2" dataDxfId="106"/>
    <tableColumn id="3" uniqueName="3" name="Mes Registro" queryTableFieldId="3" dataDxfId="105"/>
    <tableColumn id="4" uniqueName="4" name="Mes de Abandono (Churn)" queryTableFieldId="4" dataDxfId="104"/>
    <tableColumn id="5" uniqueName="5" name="1/2019" queryTableFieldId="5" dataDxfId="103"/>
    <tableColumn id="6" uniqueName="6" name="2/2019" queryTableFieldId="6" dataDxfId="102"/>
    <tableColumn id="7" uniqueName="7" name="3/2019" queryTableFieldId="7" dataDxfId="101"/>
    <tableColumn id="8" uniqueName="8" name="4/2019" queryTableFieldId="8" dataDxfId="100"/>
    <tableColumn id="9" uniqueName="9" name="5/2019" queryTableFieldId="9" dataDxfId="99"/>
    <tableColumn id="10" uniqueName="10" name="6/2019" queryTableFieldId="10" dataDxfId="98"/>
    <tableColumn id="11" uniqueName="11" name="7/2019" queryTableFieldId="11" dataDxfId="97"/>
    <tableColumn id="12" uniqueName="12" name="8/2019" queryTableFieldId="12" dataDxfId="96"/>
    <tableColumn id="13" uniqueName="13" name="9/2019" queryTableFieldId="13" dataDxfId="95"/>
    <tableColumn id="14" uniqueName="14" name="10/2019" queryTableFieldId="14" dataDxfId="94"/>
    <tableColumn id="15" uniqueName="15" name="11/2019" queryTableFieldId="15" dataDxfId="93"/>
    <tableColumn id="16" uniqueName="16" name="12/2019" queryTableFieldId="16" dataDxfId="92"/>
    <tableColumn id="17" uniqueName="17" name="1/2020" queryTableFieldId="17" dataDxfId="91"/>
    <tableColumn id="18" uniqueName="18" name="2/2020" queryTableFieldId="18" dataDxfId="90"/>
    <tableColumn id="19" uniqueName="19" name="3/2020" queryTableFieldId="19" dataDxfId="89"/>
    <tableColumn id="20" uniqueName="20" name="4/2020" queryTableFieldId="20" dataDxfId="88"/>
    <tableColumn id="21" uniqueName="21" name="5/2020" queryTableFieldId="21" dataDxfId="87"/>
    <tableColumn id="22" uniqueName="22" name="6/2020" queryTableFieldId="22" dataDxfId="86"/>
    <tableColumn id="23" uniqueName="23" name="7/2020" queryTableFieldId="23" dataDxfId="85"/>
    <tableColumn id="24" uniqueName="24" name="8/2020" queryTableFieldId="24" dataDxfId="84"/>
    <tableColumn id="25" uniqueName="25" name="9/2020" queryTableFieldId="25" dataDxfId="83"/>
    <tableColumn id="26" uniqueName="26" name="10/2020" queryTableFieldId="26" dataDxfId="82"/>
    <tableColumn id="27" uniqueName="27" name="11/2020" queryTableFieldId="27" dataDxfId="81"/>
    <tableColumn id="28" uniqueName="28" name="12/2020" queryTableFieldId="28" dataDxfId="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retencion_por_trimestre" displayName="retencion_por_trimestre" ref="A1:O331" tableType="queryTable" totalsRowShown="0">
  <autoFilter ref="A1:O331"/>
  <tableColumns count="15">
    <tableColumn id="33" uniqueName="33" name="Cliente" queryTableFieldId="1" dataDxfId="79"/>
    <tableColumn id="34" uniqueName="34" name="Estado Cliente" queryTableFieldId="2" dataDxfId="78"/>
    <tableColumn id="35" uniqueName="35" name="Mes Registro" queryTableFieldId="3" dataDxfId="77"/>
    <tableColumn id="36" uniqueName="36" name="Validacion_churn" queryTableFieldId="4" dataDxfId="76"/>
    <tableColumn id="37" uniqueName="37" name="registro_trimes" queryTableFieldId="5" dataDxfId="75"/>
    <tableColumn id="38" uniqueName="38" name="Mes de Abandono (Churn)" queryTableFieldId="6" dataDxfId="74"/>
    <tableColumn id="39" uniqueName="39" name="churn_trimes" queryTableFieldId="7" dataDxfId="73"/>
    <tableColumn id="40" uniqueName="40" name="2019-T1" queryTableFieldId="8" dataDxfId="72"/>
    <tableColumn id="41" uniqueName="41" name="2019-T2" queryTableFieldId="9" dataDxfId="71"/>
    <tableColumn id="42" uniqueName="42" name="2019-T3" queryTableFieldId="10" dataDxfId="70"/>
    <tableColumn id="43" uniqueName="43" name="2019-T4" queryTableFieldId="11" dataDxfId="69"/>
    <tableColumn id="44" uniqueName="44" name="2020-T1" queryTableFieldId="12" dataDxfId="68"/>
    <tableColumn id="45" uniqueName="45" name="2020-T2" queryTableFieldId="13" dataDxfId="67"/>
    <tableColumn id="46" uniqueName="46" name="2020-T3" queryTableFieldId="14" dataDxfId="66"/>
    <tableColumn id="47" uniqueName="47" name="2020-T4" queryTableFieldId="15" dataDxf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1"/>
  <sheetViews>
    <sheetView zoomScale="73" zoomScaleNormal="73" workbookViewId="0">
      <selection activeCell="G23" sqref="G23"/>
    </sheetView>
  </sheetViews>
  <sheetFormatPr baseColWidth="10" defaultRowHeight="14.4" x14ac:dyDescent="0.3"/>
  <cols>
    <col min="1" max="1" width="18.5546875" bestFit="1" customWidth="1"/>
    <col min="2" max="2" width="15.88671875" bestFit="1" customWidth="1"/>
    <col min="3" max="3" width="14.88671875" bestFit="1" customWidth="1"/>
    <col min="4" max="4" width="26.109375" bestFit="1" customWidth="1"/>
    <col min="5" max="13" width="10.33203125" bestFit="1" customWidth="1"/>
    <col min="14" max="16" width="11.33203125" bestFit="1" customWidth="1"/>
    <col min="17" max="25" width="10.33203125" bestFit="1" customWidth="1"/>
    <col min="26" max="28" width="11.33203125" bestFit="1" customWidth="1"/>
  </cols>
  <sheetData>
    <row r="1" spans="1:2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1" t="s">
        <v>28</v>
      </c>
      <c r="B2" s="1" t="s">
        <v>29</v>
      </c>
      <c r="C2" s="3">
        <v>43466</v>
      </c>
      <c r="D2" s="3"/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</row>
    <row r="3" spans="1:28" x14ac:dyDescent="0.3">
      <c r="A3" s="1" t="s">
        <v>30</v>
      </c>
      <c r="B3" s="1" t="s">
        <v>31</v>
      </c>
      <c r="C3" s="3">
        <v>43466</v>
      </c>
      <c r="D3" s="3">
        <v>43525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3">
      <c r="A4" s="1" t="s">
        <v>32</v>
      </c>
      <c r="B4" s="1" t="s">
        <v>31</v>
      </c>
      <c r="C4" s="3">
        <v>43466</v>
      </c>
      <c r="D4" s="3">
        <v>43678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3">
      <c r="A5" s="1" t="s">
        <v>33</v>
      </c>
      <c r="B5" s="1" t="s">
        <v>29</v>
      </c>
      <c r="C5" s="3">
        <v>43466</v>
      </c>
      <c r="D5" s="3"/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</row>
    <row r="6" spans="1:28" x14ac:dyDescent="0.3">
      <c r="A6" s="1" t="s">
        <v>34</v>
      </c>
      <c r="B6" s="1" t="s">
        <v>29</v>
      </c>
      <c r="C6" s="3">
        <v>43466</v>
      </c>
      <c r="D6" s="3"/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</row>
    <row r="7" spans="1:28" x14ac:dyDescent="0.3">
      <c r="A7" s="1" t="s">
        <v>35</v>
      </c>
      <c r="B7" s="1" t="s">
        <v>31</v>
      </c>
      <c r="C7" s="3">
        <v>43466</v>
      </c>
      <c r="D7" s="3">
        <v>44075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3">
      <c r="A8" s="1" t="s">
        <v>36</v>
      </c>
      <c r="B8" s="1" t="s">
        <v>29</v>
      </c>
      <c r="C8" s="3">
        <v>43466</v>
      </c>
      <c r="D8" s="3"/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</row>
    <row r="9" spans="1:28" x14ac:dyDescent="0.3">
      <c r="A9" s="1" t="s">
        <v>37</v>
      </c>
      <c r="B9" s="1" t="s">
        <v>29</v>
      </c>
      <c r="C9" s="3">
        <v>43466</v>
      </c>
      <c r="D9" s="3"/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</row>
    <row r="10" spans="1:28" x14ac:dyDescent="0.3">
      <c r="A10" s="1" t="s">
        <v>38</v>
      </c>
      <c r="B10" s="1" t="s">
        <v>31</v>
      </c>
      <c r="C10" s="3">
        <v>43466</v>
      </c>
      <c r="D10" s="3">
        <v>43709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pans="1:28" x14ac:dyDescent="0.3">
      <c r="A11" s="1" t="s">
        <v>39</v>
      </c>
      <c r="B11" s="1" t="s">
        <v>29</v>
      </c>
      <c r="C11" s="3">
        <v>43466</v>
      </c>
      <c r="D11" s="3"/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</row>
    <row r="12" spans="1:28" x14ac:dyDescent="0.3">
      <c r="A12" s="1" t="s">
        <v>40</v>
      </c>
      <c r="B12" s="1" t="s">
        <v>29</v>
      </c>
      <c r="C12" s="3">
        <v>43466</v>
      </c>
      <c r="D12" s="3"/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</row>
    <row r="13" spans="1:28" x14ac:dyDescent="0.3">
      <c r="A13" s="1" t="s">
        <v>41</v>
      </c>
      <c r="B13" s="1" t="s">
        <v>31</v>
      </c>
      <c r="C13" s="3">
        <v>43497</v>
      </c>
      <c r="D13" s="3">
        <v>43739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 x14ac:dyDescent="0.3">
      <c r="A14" s="1" t="s">
        <v>42</v>
      </c>
      <c r="B14" s="1" t="s">
        <v>31</v>
      </c>
      <c r="C14" s="3">
        <v>43497</v>
      </c>
      <c r="D14" s="3">
        <v>43556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3">
      <c r="A15" s="1" t="s">
        <v>43</v>
      </c>
      <c r="B15" s="1" t="s">
        <v>31</v>
      </c>
      <c r="C15" s="3">
        <v>43497</v>
      </c>
      <c r="D15" s="3">
        <v>43617</v>
      </c>
      <c r="E15" s="1">
        <v>0</v>
      </c>
      <c r="F15" s="1">
        <v>1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3">
      <c r="A16" s="1" t="s">
        <v>44</v>
      </c>
      <c r="B16" s="1" t="s">
        <v>29</v>
      </c>
      <c r="C16" s="3">
        <v>43497</v>
      </c>
      <c r="D16" s="3"/>
      <c r="E16" s="1">
        <v>0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</row>
    <row r="17" spans="1:28" x14ac:dyDescent="0.3">
      <c r="A17" s="1" t="s">
        <v>45</v>
      </c>
      <c r="B17" s="1" t="s">
        <v>29</v>
      </c>
      <c r="C17" s="3">
        <v>43497</v>
      </c>
      <c r="D17" s="3"/>
      <c r="E17" s="1">
        <v>0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</row>
    <row r="18" spans="1:28" x14ac:dyDescent="0.3">
      <c r="A18" s="1" t="s">
        <v>46</v>
      </c>
      <c r="B18" s="1" t="s">
        <v>29</v>
      </c>
      <c r="C18" s="3">
        <v>43497</v>
      </c>
      <c r="D18" s="3"/>
      <c r="E18" s="1">
        <v>0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</row>
    <row r="19" spans="1:28" x14ac:dyDescent="0.3">
      <c r="A19" s="1" t="s">
        <v>47</v>
      </c>
      <c r="B19" s="1" t="s">
        <v>31</v>
      </c>
      <c r="C19" s="3">
        <v>43497</v>
      </c>
      <c r="D19" s="3">
        <v>43770</v>
      </c>
      <c r="E19" s="1">
        <v>0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3">
      <c r="A20" s="1" t="s">
        <v>48</v>
      </c>
      <c r="B20" s="1" t="s">
        <v>29</v>
      </c>
      <c r="C20" s="3">
        <v>43497</v>
      </c>
      <c r="D20" s="3"/>
      <c r="E20" s="1">
        <v>0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</row>
    <row r="21" spans="1:28" x14ac:dyDescent="0.3">
      <c r="A21" s="1" t="s">
        <v>49</v>
      </c>
      <c r="B21" s="1" t="s">
        <v>31</v>
      </c>
      <c r="C21" s="3">
        <v>43497</v>
      </c>
      <c r="D21" s="3">
        <v>43586</v>
      </c>
      <c r="E21" s="1">
        <v>0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3">
      <c r="A22" s="1" t="s">
        <v>50</v>
      </c>
      <c r="B22" s="1" t="s">
        <v>29</v>
      </c>
      <c r="C22" s="3">
        <v>43497</v>
      </c>
      <c r="D22" s="3"/>
      <c r="E22" s="1">
        <v>0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</row>
    <row r="23" spans="1:28" x14ac:dyDescent="0.3">
      <c r="A23" s="1" t="s">
        <v>51</v>
      </c>
      <c r="B23" s="1" t="s">
        <v>29</v>
      </c>
      <c r="C23" s="3">
        <v>43497</v>
      </c>
      <c r="D23" s="3"/>
      <c r="E23" s="1">
        <v>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</row>
    <row r="24" spans="1:28" x14ac:dyDescent="0.3">
      <c r="A24" s="1" t="s">
        <v>52</v>
      </c>
      <c r="B24" s="1" t="s">
        <v>29</v>
      </c>
      <c r="C24" s="3">
        <v>43497</v>
      </c>
      <c r="D24" s="3"/>
      <c r="E24" s="1">
        <v>0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</row>
    <row r="25" spans="1:28" x14ac:dyDescent="0.3">
      <c r="A25" s="1" t="s">
        <v>53</v>
      </c>
      <c r="B25" s="1" t="s">
        <v>29</v>
      </c>
      <c r="C25" s="3">
        <v>43497</v>
      </c>
      <c r="D25" s="3"/>
      <c r="E25" s="1">
        <v>0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</row>
    <row r="26" spans="1:28" x14ac:dyDescent="0.3">
      <c r="A26" s="1" t="s">
        <v>54</v>
      </c>
      <c r="B26" s="1" t="s">
        <v>31</v>
      </c>
      <c r="C26" s="3">
        <v>43525</v>
      </c>
      <c r="D26" s="3">
        <v>43891</v>
      </c>
      <c r="E26" s="1">
        <v>0</v>
      </c>
      <c r="F26" s="1">
        <v>0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</row>
    <row r="27" spans="1:28" x14ac:dyDescent="0.3">
      <c r="A27" s="1" t="s">
        <v>55</v>
      </c>
      <c r="B27" s="1" t="s">
        <v>29</v>
      </c>
      <c r="C27" s="3">
        <v>43525</v>
      </c>
      <c r="D27" s="3"/>
      <c r="E27" s="1">
        <v>0</v>
      </c>
      <c r="F27" s="1">
        <v>0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</row>
    <row r="28" spans="1:28" x14ac:dyDescent="0.3">
      <c r="A28" s="1" t="s">
        <v>56</v>
      </c>
      <c r="B28" s="1" t="s">
        <v>31</v>
      </c>
      <c r="C28" s="3">
        <v>43525</v>
      </c>
      <c r="D28" s="3">
        <v>43739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  <row r="29" spans="1:28" x14ac:dyDescent="0.3">
      <c r="A29" s="1" t="s">
        <v>57</v>
      </c>
      <c r="B29" s="1" t="s">
        <v>31</v>
      </c>
      <c r="C29" s="3">
        <v>43525</v>
      </c>
      <c r="D29" s="3">
        <v>44105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  <c r="AB29" s="1">
        <v>0</v>
      </c>
    </row>
    <row r="30" spans="1:28" x14ac:dyDescent="0.3">
      <c r="A30" s="1" t="s">
        <v>58</v>
      </c>
      <c r="B30" s="1" t="s">
        <v>31</v>
      </c>
      <c r="C30" s="3">
        <v>43525</v>
      </c>
      <c r="D30" s="3">
        <v>44075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</row>
    <row r="31" spans="1:28" x14ac:dyDescent="0.3">
      <c r="A31" s="1" t="s">
        <v>59</v>
      </c>
      <c r="B31" s="1" t="s">
        <v>31</v>
      </c>
      <c r="C31" s="3">
        <v>43525</v>
      </c>
      <c r="D31" s="3">
        <v>43983</v>
      </c>
      <c r="E31" s="1">
        <v>0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spans="1:28" x14ac:dyDescent="0.3">
      <c r="A32" s="1" t="s">
        <v>60</v>
      </c>
      <c r="B32" s="1" t="s">
        <v>31</v>
      </c>
      <c r="C32" s="3">
        <v>43525</v>
      </c>
      <c r="D32" s="3">
        <v>43709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pans="1:28" x14ac:dyDescent="0.3">
      <c r="A33" s="1" t="s">
        <v>61</v>
      </c>
      <c r="B33" s="1" t="s">
        <v>31</v>
      </c>
      <c r="C33" s="3">
        <v>43525</v>
      </c>
      <c r="D33" s="3">
        <v>43952</v>
      </c>
      <c r="E33" s="1">
        <v>0</v>
      </c>
      <c r="F33" s="1">
        <v>0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pans="1:28" x14ac:dyDescent="0.3">
      <c r="A34" s="1" t="s">
        <v>62</v>
      </c>
      <c r="B34" s="1" t="s">
        <v>29</v>
      </c>
      <c r="C34" s="3">
        <v>43525</v>
      </c>
      <c r="D34" s="3"/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</row>
    <row r="35" spans="1:28" x14ac:dyDescent="0.3">
      <c r="A35" s="1" t="s">
        <v>63</v>
      </c>
      <c r="B35" s="1" t="s">
        <v>29</v>
      </c>
      <c r="C35" s="3">
        <v>43525</v>
      </c>
      <c r="D35" s="3"/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</row>
    <row r="36" spans="1:28" x14ac:dyDescent="0.3">
      <c r="A36" s="1" t="s">
        <v>64</v>
      </c>
      <c r="B36" s="1" t="s">
        <v>31</v>
      </c>
      <c r="C36" s="3">
        <v>43525</v>
      </c>
      <c r="D36" s="3">
        <v>43952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pans="1:28" x14ac:dyDescent="0.3">
      <c r="A37" s="1" t="s">
        <v>65</v>
      </c>
      <c r="B37" s="1" t="s">
        <v>31</v>
      </c>
      <c r="C37" s="3">
        <v>43525</v>
      </c>
      <c r="D37" s="3">
        <v>43952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</row>
    <row r="38" spans="1:28" x14ac:dyDescent="0.3">
      <c r="A38" s="1" t="s">
        <v>66</v>
      </c>
      <c r="B38" s="1" t="s">
        <v>29</v>
      </c>
      <c r="C38" s="3">
        <v>43525</v>
      </c>
      <c r="D38" s="3"/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</row>
    <row r="39" spans="1:28" x14ac:dyDescent="0.3">
      <c r="A39" s="1" t="s">
        <v>67</v>
      </c>
      <c r="B39" s="1" t="s">
        <v>31</v>
      </c>
      <c r="C39" s="3">
        <v>43556</v>
      </c>
      <c r="D39" s="3">
        <v>43770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</row>
    <row r="40" spans="1:28" x14ac:dyDescent="0.3">
      <c r="A40" s="1" t="s">
        <v>68</v>
      </c>
      <c r="B40" s="1" t="s">
        <v>29</v>
      </c>
      <c r="C40" s="3">
        <v>43556</v>
      </c>
      <c r="D40" s="3"/>
      <c r="E40" s="1">
        <v>0</v>
      </c>
      <c r="F40" s="1">
        <v>0</v>
      </c>
      <c r="G40" s="1">
        <v>0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</row>
    <row r="41" spans="1:28" x14ac:dyDescent="0.3">
      <c r="A41" s="1" t="s">
        <v>69</v>
      </c>
      <c r="B41" s="1" t="s">
        <v>29</v>
      </c>
      <c r="C41" s="3">
        <v>43556</v>
      </c>
      <c r="D41" s="3"/>
      <c r="E41" s="1">
        <v>0</v>
      </c>
      <c r="F41" s="1">
        <v>0</v>
      </c>
      <c r="G41" s="1">
        <v>0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</row>
    <row r="42" spans="1:28" x14ac:dyDescent="0.3">
      <c r="A42" s="1" t="s">
        <v>70</v>
      </c>
      <c r="B42" s="1" t="s">
        <v>29</v>
      </c>
      <c r="C42" s="3">
        <v>43556</v>
      </c>
      <c r="D42" s="3"/>
      <c r="E42" s="1">
        <v>0</v>
      </c>
      <c r="F42" s="1">
        <v>0</v>
      </c>
      <c r="G42" s="1">
        <v>0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</row>
    <row r="43" spans="1:28" x14ac:dyDescent="0.3">
      <c r="A43" s="1" t="s">
        <v>71</v>
      </c>
      <c r="B43" s="1" t="s">
        <v>31</v>
      </c>
      <c r="C43" s="3">
        <v>43556</v>
      </c>
      <c r="D43" s="3">
        <v>43709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1:28" x14ac:dyDescent="0.3">
      <c r="A44" s="1" t="s">
        <v>72</v>
      </c>
      <c r="B44" s="1" t="s">
        <v>31</v>
      </c>
      <c r="C44" s="3">
        <v>43556</v>
      </c>
      <c r="D44" s="3">
        <v>43922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</row>
    <row r="45" spans="1:28" x14ac:dyDescent="0.3">
      <c r="A45" s="1" t="s">
        <v>73</v>
      </c>
      <c r="B45" s="1" t="s">
        <v>31</v>
      </c>
      <c r="C45" s="3">
        <v>43556</v>
      </c>
      <c r="D45" s="3">
        <v>43617</v>
      </c>
      <c r="E45" s="1">
        <v>0</v>
      </c>
      <c r="F45" s="1">
        <v>0</v>
      </c>
      <c r="G45" s="1">
        <v>0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</row>
    <row r="46" spans="1:28" x14ac:dyDescent="0.3">
      <c r="A46" s="1" t="s">
        <v>74</v>
      </c>
      <c r="B46" s="1" t="s">
        <v>31</v>
      </c>
      <c r="C46" s="3">
        <v>43556</v>
      </c>
      <c r="D46" s="3">
        <v>43922</v>
      </c>
      <c r="E46" s="1">
        <v>0</v>
      </c>
      <c r="F46" s="1">
        <v>0</v>
      </c>
      <c r="G46" s="1">
        <v>0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1:28" x14ac:dyDescent="0.3">
      <c r="A47" s="1" t="s">
        <v>75</v>
      </c>
      <c r="B47" s="1" t="s">
        <v>29</v>
      </c>
      <c r="C47" s="3">
        <v>43556</v>
      </c>
      <c r="D47" s="3"/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</row>
    <row r="48" spans="1:28" x14ac:dyDescent="0.3">
      <c r="A48" s="1" t="s">
        <v>76</v>
      </c>
      <c r="B48" s="1" t="s">
        <v>31</v>
      </c>
      <c r="C48" s="3">
        <v>43556</v>
      </c>
      <c r="D48" s="3">
        <v>43831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3">
      <c r="A49" s="1" t="s">
        <v>77</v>
      </c>
      <c r="B49" s="1" t="s">
        <v>31</v>
      </c>
      <c r="C49" s="3">
        <v>43556</v>
      </c>
      <c r="D49" s="3">
        <v>43831</v>
      </c>
      <c r="E49" s="1">
        <v>0</v>
      </c>
      <c r="F49" s="1">
        <v>0</v>
      </c>
      <c r="G49" s="1">
        <v>0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3">
      <c r="A50" s="1" t="s">
        <v>78</v>
      </c>
      <c r="B50" s="1" t="s">
        <v>29</v>
      </c>
      <c r="C50" s="3">
        <v>43556</v>
      </c>
      <c r="D50" s="3"/>
      <c r="E50" s="1">
        <v>0</v>
      </c>
      <c r="F50" s="1">
        <v>0</v>
      </c>
      <c r="G50" s="1">
        <v>0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</row>
    <row r="51" spans="1:28" x14ac:dyDescent="0.3">
      <c r="A51" s="1" t="s">
        <v>79</v>
      </c>
      <c r="B51" s="1" t="s">
        <v>31</v>
      </c>
      <c r="C51" s="3">
        <v>43556</v>
      </c>
      <c r="D51" s="3">
        <v>43678</v>
      </c>
      <c r="E51" s="1">
        <v>0</v>
      </c>
      <c r="F51" s="1">
        <v>0</v>
      </c>
      <c r="G51" s="1">
        <v>0</v>
      </c>
      <c r="H51" s="1">
        <v>1</v>
      </c>
      <c r="I51" s="1">
        <v>1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3">
      <c r="A52" s="1" t="s">
        <v>80</v>
      </c>
      <c r="B52" s="1" t="s">
        <v>29</v>
      </c>
      <c r="C52" s="3">
        <v>43556</v>
      </c>
      <c r="D52" s="3"/>
      <c r="E52" s="1">
        <v>0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</row>
    <row r="53" spans="1:28" x14ac:dyDescent="0.3">
      <c r="A53" s="1" t="s">
        <v>81</v>
      </c>
      <c r="B53" s="1" t="s">
        <v>29</v>
      </c>
      <c r="C53" s="3">
        <v>43556</v>
      </c>
      <c r="D53" s="3"/>
      <c r="E53" s="1">
        <v>0</v>
      </c>
      <c r="F53" s="1">
        <v>0</v>
      </c>
      <c r="G53" s="1">
        <v>0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</row>
    <row r="54" spans="1:28" x14ac:dyDescent="0.3">
      <c r="A54" s="1" t="s">
        <v>82</v>
      </c>
      <c r="B54" s="1" t="s">
        <v>31</v>
      </c>
      <c r="C54" s="3">
        <v>43586</v>
      </c>
      <c r="D54" s="3">
        <v>43739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3">
      <c r="A55" s="1" t="s">
        <v>83</v>
      </c>
      <c r="B55" s="1" t="s">
        <v>31</v>
      </c>
      <c r="C55" s="3">
        <v>43586</v>
      </c>
      <c r="D55" s="3">
        <v>43678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1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3">
      <c r="A56" s="1" t="s">
        <v>84</v>
      </c>
      <c r="B56" s="1" t="s">
        <v>31</v>
      </c>
      <c r="C56" s="3">
        <v>43586</v>
      </c>
      <c r="D56" s="3">
        <v>44013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3">
      <c r="A57" s="1" t="s">
        <v>85</v>
      </c>
      <c r="B57" s="1" t="s">
        <v>29</v>
      </c>
      <c r="C57" s="3">
        <v>43586</v>
      </c>
      <c r="D57" s="3"/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</row>
    <row r="58" spans="1:28" x14ac:dyDescent="0.3">
      <c r="A58" s="1" t="s">
        <v>86</v>
      </c>
      <c r="B58" s="1" t="s">
        <v>29</v>
      </c>
      <c r="C58" s="3">
        <v>43586</v>
      </c>
      <c r="D58" s="3"/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</row>
    <row r="59" spans="1:28" x14ac:dyDescent="0.3">
      <c r="A59" s="1" t="s">
        <v>87</v>
      </c>
      <c r="B59" s="1" t="s">
        <v>31</v>
      </c>
      <c r="C59" s="3">
        <v>43586</v>
      </c>
      <c r="D59" s="3">
        <v>43709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1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s="1" t="s">
        <v>88</v>
      </c>
      <c r="B60" s="1" t="s">
        <v>31</v>
      </c>
      <c r="C60" s="3">
        <v>43586</v>
      </c>
      <c r="D60" s="3">
        <v>43952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3">
      <c r="A61" s="1" t="s">
        <v>89</v>
      </c>
      <c r="B61" s="1" t="s">
        <v>31</v>
      </c>
      <c r="C61" s="3">
        <v>43586</v>
      </c>
      <c r="D61" s="3">
        <v>44013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3">
      <c r="A62" s="1" t="s">
        <v>90</v>
      </c>
      <c r="B62" s="1" t="s">
        <v>29</v>
      </c>
      <c r="C62" s="3">
        <v>43586</v>
      </c>
      <c r="D62" s="3"/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</row>
    <row r="63" spans="1:28" x14ac:dyDescent="0.3">
      <c r="A63" s="1" t="s">
        <v>91</v>
      </c>
      <c r="B63" s="1" t="s">
        <v>29</v>
      </c>
      <c r="C63" s="3">
        <v>43586</v>
      </c>
      <c r="D63" s="3"/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</row>
    <row r="64" spans="1:28" x14ac:dyDescent="0.3">
      <c r="A64" s="1" t="s">
        <v>92</v>
      </c>
      <c r="B64" s="1" t="s">
        <v>31</v>
      </c>
      <c r="C64" s="3">
        <v>43586</v>
      </c>
      <c r="D64" s="3">
        <v>43862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3">
      <c r="A65" s="1" t="s">
        <v>93</v>
      </c>
      <c r="B65" s="1" t="s">
        <v>29</v>
      </c>
      <c r="C65" s="3">
        <v>43586</v>
      </c>
      <c r="D65" s="3"/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</row>
    <row r="66" spans="1:28" x14ac:dyDescent="0.3">
      <c r="A66" s="1" t="s">
        <v>94</v>
      </c>
      <c r="B66" s="1" t="s">
        <v>29</v>
      </c>
      <c r="C66" s="3">
        <v>43586</v>
      </c>
      <c r="D66" s="3"/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</row>
    <row r="67" spans="1:28" x14ac:dyDescent="0.3">
      <c r="A67" s="1" t="s">
        <v>95</v>
      </c>
      <c r="B67" s="1" t="s">
        <v>31</v>
      </c>
      <c r="C67" s="3">
        <v>43617</v>
      </c>
      <c r="D67" s="3">
        <v>43800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3">
      <c r="A68" s="1" t="s">
        <v>96</v>
      </c>
      <c r="B68" s="1" t="s">
        <v>31</v>
      </c>
      <c r="C68" s="3">
        <v>43617</v>
      </c>
      <c r="D68" s="3">
        <v>43709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3">
      <c r="A69" s="1" t="s">
        <v>97</v>
      </c>
      <c r="B69" s="1" t="s">
        <v>31</v>
      </c>
      <c r="C69" s="3">
        <v>43617</v>
      </c>
      <c r="D69" s="3">
        <v>43862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3">
      <c r="A70" s="1" t="s">
        <v>98</v>
      </c>
      <c r="B70" s="1" t="s">
        <v>31</v>
      </c>
      <c r="C70" s="3">
        <v>43617</v>
      </c>
      <c r="D70" s="3">
        <v>44075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3">
      <c r="A71" s="1" t="s">
        <v>99</v>
      </c>
      <c r="B71" s="1" t="s">
        <v>29</v>
      </c>
      <c r="C71" s="3">
        <v>43617</v>
      </c>
      <c r="D71" s="3"/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1</v>
      </c>
    </row>
    <row r="72" spans="1:28" x14ac:dyDescent="0.3">
      <c r="A72" s="1" t="s">
        <v>100</v>
      </c>
      <c r="B72" s="1" t="s">
        <v>29</v>
      </c>
      <c r="C72" s="3">
        <v>43617</v>
      </c>
      <c r="D72" s="3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</row>
    <row r="73" spans="1:28" x14ac:dyDescent="0.3">
      <c r="A73" s="1" t="s">
        <v>101</v>
      </c>
      <c r="B73" s="1" t="s">
        <v>29</v>
      </c>
      <c r="C73" s="3">
        <v>43617</v>
      </c>
      <c r="D73" s="3"/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</row>
    <row r="74" spans="1:28" x14ac:dyDescent="0.3">
      <c r="A74" s="1" t="s">
        <v>102</v>
      </c>
      <c r="B74" s="1" t="s">
        <v>29</v>
      </c>
      <c r="C74" s="3">
        <v>43617</v>
      </c>
      <c r="D74" s="3"/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</row>
    <row r="75" spans="1:28" x14ac:dyDescent="0.3">
      <c r="A75" s="1" t="s">
        <v>103</v>
      </c>
      <c r="B75" s="1" t="s">
        <v>31</v>
      </c>
      <c r="C75" s="3">
        <v>43617</v>
      </c>
      <c r="D75" s="3">
        <v>44166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0</v>
      </c>
    </row>
    <row r="76" spans="1:28" x14ac:dyDescent="0.3">
      <c r="A76" s="1" t="s">
        <v>104</v>
      </c>
      <c r="B76" s="1" t="s">
        <v>29</v>
      </c>
      <c r="C76" s="3">
        <v>43617</v>
      </c>
      <c r="D76" s="3"/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</row>
    <row r="77" spans="1:28" x14ac:dyDescent="0.3">
      <c r="A77" s="1" t="s">
        <v>105</v>
      </c>
      <c r="B77" s="1" t="s">
        <v>29</v>
      </c>
      <c r="C77" s="3">
        <v>43617</v>
      </c>
      <c r="D77" s="3"/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</row>
    <row r="78" spans="1:28" x14ac:dyDescent="0.3">
      <c r="A78" s="1" t="s">
        <v>106</v>
      </c>
      <c r="B78" s="1" t="s">
        <v>31</v>
      </c>
      <c r="C78" s="3">
        <v>43647</v>
      </c>
      <c r="D78" s="3">
        <v>43952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</row>
    <row r="79" spans="1:28" x14ac:dyDescent="0.3">
      <c r="A79" s="1" t="s">
        <v>107</v>
      </c>
      <c r="B79" s="1" t="s">
        <v>31</v>
      </c>
      <c r="C79" s="3">
        <v>43647</v>
      </c>
      <c r="D79" s="3">
        <v>43831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</row>
    <row r="80" spans="1:28" x14ac:dyDescent="0.3">
      <c r="A80" s="1" t="s">
        <v>108</v>
      </c>
      <c r="B80" s="1" t="s">
        <v>31</v>
      </c>
      <c r="C80" s="3">
        <v>43647</v>
      </c>
      <c r="D80" s="3">
        <v>44044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</row>
    <row r="81" spans="1:28" x14ac:dyDescent="0.3">
      <c r="A81" s="1" t="s">
        <v>109</v>
      </c>
      <c r="B81" s="1" t="s">
        <v>29</v>
      </c>
      <c r="C81" s="3">
        <v>43647</v>
      </c>
      <c r="D81" s="3"/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</row>
    <row r="82" spans="1:28" x14ac:dyDescent="0.3">
      <c r="A82" s="1" t="s">
        <v>110</v>
      </c>
      <c r="B82" s="1" t="s">
        <v>29</v>
      </c>
      <c r="C82" s="3">
        <v>43647</v>
      </c>
      <c r="D82" s="3"/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</row>
    <row r="83" spans="1:28" x14ac:dyDescent="0.3">
      <c r="A83" s="1" t="s">
        <v>111</v>
      </c>
      <c r="B83" s="1" t="s">
        <v>31</v>
      </c>
      <c r="C83" s="3">
        <v>43647</v>
      </c>
      <c r="D83" s="3">
        <v>43862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</row>
    <row r="84" spans="1:28" x14ac:dyDescent="0.3">
      <c r="A84" s="1" t="s">
        <v>112</v>
      </c>
      <c r="B84" s="1" t="s">
        <v>31</v>
      </c>
      <c r="C84" s="3">
        <v>43647</v>
      </c>
      <c r="D84" s="3">
        <v>43862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</row>
    <row r="85" spans="1:28" x14ac:dyDescent="0.3">
      <c r="A85" s="1" t="s">
        <v>113</v>
      </c>
      <c r="B85" s="1" t="s">
        <v>29</v>
      </c>
      <c r="C85" s="3">
        <v>43647</v>
      </c>
      <c r="D85" s="3"/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</row>
    <row r="86" spans="1:28" x14ac:dyDescent="0.3">
      <c r="A86" s="1" t="s">
        <v>114</v>
      </c>
      <c r="B86" s="1" t="s">
        <v>29</v>
      </c>
      <c r="C86" s="3">
        <v>43647</v>
      </c>
      <c r="D86" s="3"/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</row>
    <row r="87" spans="1:28" x14ac:dyDescent="0.3">
      <c r="A87" s="1" t="s">
        <v>115</v>
      </c>
      <c r="B87" s="1" t="s">
        <v>31</v>
      </c>
      <c r="C87" s="3">
        <v>43647</v>
      </c>
      <c r="D87" s="3">
        <v>44136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0</v>
      </c>
      <c r="AB87" s="1">
        <v>0</v>
      </c>
    </row>
    <row r="88" spans="1:28" x14ac:dyDescent="0.3">
      <c r="A88" s="1" t="s">
        <v>116</v>
      </c>
      <c r="B88" s="1" t="s">
        <v>29</v>
      </c>
      <c r="C88" s="3">
        <v>43647</v>
      </c>
      <c r="D88" s="3"/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</row>
    <row r="89" spans="1:28" x14ac:dyDescent="0.3">
      <c r="A89" s="1" t="s">
        <v>117</v>
      </c>
      <c r="B89" s="1" t="s">
        <v>29</v>
      </c>
      <c r="C89" s="3">
        <v>43678</v>
      </c>
      <c r="D89" s="3"/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</row>
    <row r="90" spans="1:28" x14ac:dyDescent="0.3">
      <c r="A90" s="1" t="s">
        <v>118</v>
      </c>
      <c r="B90" s="1" t="s">
        <v>31</v>
      </c>
      <c r="C90" s="3">
        <v>43678</v>
      </c>
      <c r="D90" s="3">
        <v>43709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</row>
    <row r="91" spans="1:28" x14ac:dyDescent="0.3">
      <c r="A91" s="1" t="s">
        <v>119</v>
      </c>
      <c r="B91" s="1" t="s">
        <v>29</v>
      </c>
      <c r="C91" s="3">
        <v>43678</v>
      </c>
      <c r="D91" s="3"/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</row>
    <row r="92" spans="1:28" x14ac:dyDescent="0.3">
      <c r="A92" s="1" t="s">
        <v>120</v>
      </c>
      <c r="B92" s="1" t="s">
        <v>29</v>
      </c>
      <c r="C92" s="3">
        <v>43678</v>
      </c>
      <c r="D92" s="3"/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</row>
    <row r="93" spans="1:28" x14ac:dyDescent="0.3">
      <c r="A93" s="1" t="s">
        <v>121</v>
      </c>
      <c r="B93" s="1" t="s">
        <v>31</v>
      </c>
      <c r="C93" s="3">
        <v>43709</v>
      </c>
      <c r="D93" s="3">
        <v>44075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</row>
    <row r="94" spans="1:28" x14ac:dyDescent="0.3">
      <c r="A94" s="1" t="s">
        <v>122</v>
      </c>
      <c r="B94" s="1" t="s">
        <v>29</v>
      </c>
      <c r="C94" s="3">
        <v>43709</v>
      </c>
      <c r="D94" s="3"/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</row>
    <row r="95" spans="1:28" x14ac:dyDescent="0.3">
      <c r="A95" s="1" t="s">
        <v>123</v>
      </c>
      <c r="B95" s="1" t="s">
        <v>31</v>
      </c>
      <c r="C95" s="3">
        <v>43709</v>
      </c>
      <c r="D95" s="3">
        <v>43831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1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</row>
    <row r="96" spans="1:28" x14ac:dyDescent="0.3">
      <c r="A96" s="1" t="s">
        <v>124</v>
      </c>
      <c r="B96" s="1" t="s">
        <v>29</v>
      </c>
      <c r="C96" s="3">
        <v>43709</v>
      </c>
      <c r="D96" s="3"/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</row>
    <row r="97" spans="1:28" x14ac:dyDescent="0.3">
      <c r="A97" s="1" t="s">
        <v>125</v>
      </c>
      <c r="B97" s="1" t="s">
        <v>31</v>
      </c>
      <c r="C97" s="3">
        <v>43709</v>
      </c>
      <c r="D97" s="3">
        <v>43770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</row>
    <row r="98" spans="1:28" x14ac:dyDescent="0.3">
      <c r="A98" s="1" t="s">
        <v>126</v>
      </c>
      <c r="B98" s="1" t="s">
        <v>31</v>
      </c>
      <c r="C98" s="3">
        <v>43709</v>
      </c>
      <c r="D98" s="3">
        <v>44075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</row>
    <row r="99" spans="1:28" x14ac:dyDescent="0.3">
      <c r="A99" s="1" t="s">
        <v>127</v>
      </c>
      <c r="B99" s="1" t="s">
        <v>29</v>
      </c>
      <c r="C99" s="3">
        <v>43709</v>
      </c>
      <c r="D99" s="3"/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</row>
    <row r="100" spans="1:28" x14ac:dyDescent="0.3">
      <c r="A100" s="1" t="s">
        <v>128</v>
      </c>
      <c r="B100" s="1" t="s">
        <v>29</v>
      </c>
      <c r="C100" s="3">
        <v>43709</v>
      </c>
      <c r="D100" s="3"/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</row>
    <row r="101" spans="1:28" x14ac:dyDescent="0.3">
      <c r="A101" s="1" t="s">
        <v>129</v>
      </c>
      <c r="B101" s="1" t="s">
        <v>31</v>
      </c>
      <c r="C101" s="3">
        <v>43739</v>
      </c>
      <c r="D101" s="3">
        <v>44136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0</v>
      </c>
      <c r="AB101" s="1">
        <v>0</v>
      </c>
    </row>
    <row r="102" spans="1:28" x14ac:dyDescent="0.3">
      <c r="A102" s="1" t="s">
        <v>130</v>
      </c>
      <c r="B102" s="1" t="s">
        <v>29</v>
      </c>
      <c r="C102" s="3">
        <v>43739</v>
      </c>
      <c r="D102" s="3"/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</row>
    <row r="103" spans="1:28" x14ac:dyDescent="0.3">
      <c r="A103" s="1" t="s">
        <v>131</v>
      </c>
      <c r="B103" s="1" t="s">
        <v>31</v>
      </c>
      <c r="C103" s="3">
        <v>43739</v>
      </c>
      <c r="D103" s="3">
        <v>43891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</row>
    <row r="104" spans="1:28" x14ac:dyDescent="0.3">
      <c r="A104" s="1" t="s">
        <v>132</v>
      </c>
      <c r="B104" s="1" t="s">
        <v>29</v>
      </c>
      <c r="C104" s="3">
        <v>43739</v>
      </c>
      <c r="D104" s="3"/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</row>
    <row r="105" spans="1:28" x14ac:dyDescent="0.3">
      <c r="A105" s="1" t="s">
        <v>133</v>
      </c>
      <c r="B105" s="1" t="s">
        <v>29</v>
      </c>
      <c r="C105" s="3">
        <v>43739</v>
      </c>
      <c r="D105" s="3"/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</row>
    <row r="106" spans="1:28" x14ac:dyDescent="0.3">
      <c r="A106" s="1" t="s">
        <v>134</v>
      </c>
      <c r="B106" s="1" t="s">
        <v>29</v>
      </c>
      <c r="C106" s="3">
        <v>43739</v>
      </c>
      <c r="D106" s="3"/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</row>
    <row r="107" spans="1:28" x14ac:dyDescent="0.3">
      <c r="A107" s="1" t="s">
        <v>135</v>
      </c>
      <c r="B107" s="1" t="s">
        <v>29</v>
      </c>
      <c r="C107" s="3">
        <v>43739</v>
      </c>
      <c r="D107" s="3"/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</row>
    <row r="108" spans="1:28" x14ac:dyDescent="0.3">
      <c r="A108" s="1" t="s">
        <v>136</v>
      </c>
      <c r="B108" s="1" t="s">
        <v>29</v>
      </c>
      <c r="C108" s="3">
        <v>43739</v>
      </c>
      <c r="D108" s="3"/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</row>
    <row r="109" spans="1:28" x14ac:dyDescent="0.3">
      <c r="A109" s="1" t="s">
        <v>137</v>
      </c>
      <c r="B109" s="1" t="s">
        <v>31</v>
      </c>
      <c r="C109" s="3">
        <v>43739</v>
      </c>
      <c r="D109" s="3">
        <v>44013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</row>
    <row r="110" spans="1:28" x14ac:dyDescent="0.3">
      <c r="A110" s="1" t="s">
        <v>138</v>
      </c>
      <c r="B110" s="1" t="s">
        <v>29</v>
      </c>
      <c r="C110" s="3">
        <v>43739</v>
      </c>
      <c r="D110" s="3"/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</row>
    <row r="111" spans="1:28" x14ac:dyDescent="0.3">
      <c r="A111" s="1" t="s">
        <v>139</v>
      </c>
      <c r="B111" s="1" t="s">
        <v>29</v>
      </c>
      <c r="C111" s="3">
        <v>43739</v>
      </c>
      <c r="D111" s="3"/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</row>
    <row r="112" spans="1:28" x14ac:dyDescent="0.3">
      <c r="A112" s="1" t="s">
        <v>140</v>
      </c>
      <c r="B112" s="1" t="s">
        <v>29</v>
      </c>
      <c r="C112" s="3">
        <v>43739</v>
      </c>
      <c r="D112" s="3"/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</row>
    <row r="113" spans="1:28" x14ac:dyDescent="0.3">
      <c r="A113" s="1" t="s">
        <v>141</v>
      </c>
      <c r="B113" s="1" t="s">
        <v>31</v>
      </c>
      <c r="C113" s="3">
        <v>43739</v>
      </c>
      <c r="D113" s="3">
        <v>44105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0</v>
      </c>
      <c r="AA113" s="1">
        <v>0</v>
      </c>
      <c r="AB113" s="1">
        <v>0</v>
      </c>
    </row>
    <row r="114" spans="1:28" x14ac:dyDescent="0.3">
      <c r="A114" s="1" t="s">
        <v>142</v>
      </c>
      <c r="B114" s="1" t="s">
        <v>29</v>
      </c>
      <c r="C114" s="3">
        <v>43739</v>
      </c>
      <c r="D114" s="3"/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</row>
    <row r="115" spans="1:28" x14ac:dyDescent="0.3">
      <c r="A115" s="1" t="s">
        <v>143</v>
      </c>
      <c r="B115" s="1" t="s">
        <v>29</v>
      </c>
      <c r="C115" s="3">
        <v>43739</v>
      </c>
      <c r="D115" s="3"/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</row>
    <row r="116" spans="1:28" x14ac:dyDescent="0.3">
      <c r="A116" s="1" t="s">
        <v>144</v>
      </c>
      <c r="B116" s="1" t="s">
        <v>29</v>
      </c>
      <c r="C116" s="3">
        <v>43770</v>
      </c>
      <c r="D116" s="3"/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</row>
    <row r="117" spans="1:28" x14ac:dyDescent="0.3">
      <c r="A117" s="1" t="s">
        <v>145</v>
      </c>
      <c r="B117" s="1" t="s">
        <v>29</v>
      </c>
      <c r="C117" s="3">
        <v>43770</v>
      </c>
      <c r="D117" s="3"/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</row>
    <row r="118" spans="1:28" x14ac:dyDescent="0.3">
      <c r="A118" s="1" t="s">
        <v>146</v>
      </c>
      <c r="B118" s="1" t="s">
        <v>29</v>
      </c>
      <c r="C118" s="3">
        <v>43770</v>
      </c>
      <c r="D118" s="3"/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</row>
    <row r="119" spans="1:28" x14ac:dyDescent="0.3">
      <c r="A119" s="1" t="s">
        <v>147</v>
      </c>
      <c r="B119" s="1" t="s">
        <v>31</v>
      </c>
      <c r="C119" s="3">
        <v>43770</v>
      </c>
      <c r="D119" s="3">
        <v>43922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3">
      <c r="A120" s="1" t="s">
        <v>148</v>
      </c>
      <c r="B120" s="1" t="s">
        <v>29</v>
      </c>
      <c r="C120" s="3">
        <v>43770</v>
      </c>
      <c r="D120" s="3"/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</row>
    <row r="121" spans="1:28" x14ac:dyDescent="0.3">
      <c r="A121" s="1" t="s">
        <v>149</v>
      </c>
      <c r="B121" s="1" t="s">
        <v>29</v>
      </c>
      <c r="C121" s="3">
        <v>43770</v>
      </c>
      <c r="D121" s="3"/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</row>
    <row r="122" spans="1:28" x14ac:dyDescent="0.3">
      <c r="A122" s="1" t="s">
        <v>150</v>
      </c>
      <c r="B122" s="1" t="s">
        <v>29</v>
      </c>
      <c r="C122" s="3">
        <v>43770</v>
      </c>
      <c r="D122" s="3"/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</row>
    <row r="123" spans="1:28" x14ac:dyDescent="0.3">
      <c r="A123" s="1" t="s">
        <v>151</v>
      </c>
      <c r="B123" s="1" t="s">
        <v>29</v>
      </c>
      <c r="C123" s="3">
        <v>43770</v>
      </c>
      <c r="D123" s="3"/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1</v>
      </c>
      <c r="AA123" s="1">
        <v>1</v>
      </c>
      <c r="AB123" s="1">
        <v>1</v>
      </c>
    </row>
    <row r="124" spans="1:28" x14ac:dyDescent="0.3">
      <c r="A124" s="1" t="s">
        <v>152</v>
      </c>
      <c r="B124" s="1" t="s">
        <v>31</v>
      </c>
      <c r="C124" s="3">
        <v>43770</v>
      </c>
      <c r="D124" s="3">
        <v>43952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s="1" t="s">
        <v>153</v>
      </c>
      <c r="B125" s="1" t="s">
        <v>31</v>
      </c>
      <c r="C125" s="3">
        <v>43770</v>
      </c>
      <c r="D125" s="3">
        <v>44166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0</v>
      </c>
    </row>
    <row r="126" spans="1:28" x14ac:dyDescent="0.3">
      <c r="A126" s="1" t="s">
        <v>154</v>
      </c>
      <c r="B126" s="1" t="s">
        <v>29</v>
      </c>
      <c r="C126" s="3">
        <v>43770</v>
      </c>
      <c r="D126" s="3"/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</row>
    <row r="127" spans="1:28" x14ac:dyDescent="0.3">
      <c r="A127" s="1" t="s">
        <v>155</v>
      </c>
      <c r="B127" s="1" t="s">
        <v>29</v>
      </c>
      <c r="C127" s="3">
        <v>43770</v>
      </c>
      <c r="D127" s="3"/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</row>
    <row r="128" spans="1:28" x14ac:dyDescent="0.3">
      <c r="A128" s="1" t="s">
        <v>156</v>
      </c>
      <c r="B128" s="1" t="s">
        <v>31</v>
      </c>
      <c r="C128" s="3">
        <v>43770</v>
      </c>
      <c r="D128" s="3">
        <v>43952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3">
      <c r="A129" s="1" t="s">
        <v>157</v>
      </c>
      <c r="B129" s="1" t="s">
        <v>29</v>
      </c>
      <c r="C129" s="3">
        <v>43800</v>
      </c>
      <c r="D129" s="3"/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</row>
    <row r="130" spans="1:28" x14ac:dyDescent="0.3">
      <c r="A130" s="1" t="s">
        <v>158</v>
      </c>
      <c r="B130" s="1" t="s">
        <v>29</v>
      </c>
      <c r="C130" s="3">
        <v>43800</v>
      </c>
      <c r="D130" s="3"/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</row>
    <row r="131" spans="1:28" x14ac:dyDescent="0.3">
      <c r="A131" s="1" t="s">
        <v>159</v>
      </c>
      <c r="B131" s="1" t="s">
        <v>29</v>
      </c>
      <c r="C131" s="3">
        <v>43800</v>
      </c>
      <c r="D131" s="3"/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</row>
    <row r="132" spans="1:28" x14ac:dyDescent="0.3">
      <c r="A132" s="1" t="s">
        <v>160</v>
      </c>
      <c r="B132" s="1" t="s">
        <v>29</v>
      </c>
      <c r="C132" s="3">
        <v>43800</v>
      </c>
      <c r="D132" s="3"/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</row>
    <row r="133" spans="1:28" x14ac:dyDescent="0.3">
      <c r="A133" s="1" t="s">
        <v>161</v>
      </c>
      <c r="B133" s="1" t="s">
        <v>29</v>
      </c>
      <c r="C133" s="3">
        <v>43800</v>
      </c>
      <c r="D133" s="3"/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</row>
    <row r="134" spans="1:28" x14ac:dyDescent="0.3">
      <c r="A134" s="1" t="s">
        <v>162</v>
      </c>
      <c r="B134" s="1" t="s">
        <v>29</v>
      </c>
      <c r="C134" s="3">
        <v>43800</v>
      </c>
      <c r="D134" s="3"/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</row>
    <row r="135" spans="1:28" x14ac:dyDescent="0.3">
      <c r="A135" s="1" t="s">
        <v>163</v>
      </c>
      <c r="B135" s="1" t="s">
        <v>31</v>
      </c>
      <c r="C135" s="3">
        <v>43831</v>
      </c>
      <c r="D135" s="3">
        <v>44075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3">
      <c r="A136" s="1" t="s">
        <v>164</v>
      </c>
      <c r="B136" s="1" t="s">
        <v>29</v>
      </c>
      <c r="C136" s="3">
        <v>43831</v>
      </c>
      <c r="D136" s="3">
        <v>43891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</row>
    <row r="137" spans="1:28" x14ac:dyDescent="0.3">
      <c r="A137" s="1" t="s">
        <v>165</v>
      </c>
      <c r="B137" s="1" t="s">
        <v>29</v>
      </c>
      <c r="C137" s="3">
        <v>43831</v>
      </c>
      <c r="D137" s="3"/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</row>
    <row r="138" spans="1:28" x14ac:dyDescent="0.3">
      <c r="A138" s="1" t="s">
        <v>166</v>
      </c>
      <c r="B138" s="1" t="s">
        <v>31</v>
      </c>
      <c r="C138" s="3">
        <v>43831</v>
      </c>
      <c r="D138" s="3">
        <v>43983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3">
      <c r="A139" s="1" t="s">
        <v>167</v>
      </c>
      <c r="B139" s="1" t="s">
        <v>31</v>
      </c>
      <c r="C139" s="3">
        <v>43831</v>
      </c>
      <c r="D139" s="3">
        <v>44105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0</v>
      </c>
      <c r="AA139" s="1">
        <v>0</v>
      </c>
      <c r="AB139" s="1">
        <v>0</v>
      </c>
    </row>
    <row r="140" spans="1:28" x14ac:dyDescent="0.3">
      <c r="A140" s="1" t="s">
        <v>168</v>
      </c>
      <c r="B140" s="1" t="s">
        <v>31</v>
      </c>
      <c r="C140" s="3">
        <v>43831</v>
      </c>
      <c r="D140" s="3">
        <v>43983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3">
      <c r="A141" s="1" t="s">
        <v>169</v>
      </c>
      <c r="B141" s="1" t="s">
        <v>29</v>
      </c>
      <c r="C141" s="3">
        <v>43831</v>
      </c>
      <c r="D141" s="3"/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</row>
    <row r="142" spans="1:28" x14ac:dyDescent="0.3">
      <c r="A142" s="1" t="s">
        <v>170</v>
      </c>
      <c r="B142" s="1" t="s">
        <v>31</v>
      </c>
      <c r="C142" s="3">
        <v>43831</v>
      </c>
      <c r="D142" s="3">
        <v>44166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0</v>
      </c>
    </row>
    <row r="143" spans="1:28" x14ac:dyDescent="0.3">
      <c r="A143" s="1" t="s">
        <v>171</v>
      </c>
      <c r="B143" s="1" t="s">
        <v>31</v>
      </c>
      <c r="C143" s="3">
        <v>43831</v>
      </c>
      <c r="D143" s="3">
        <v>44166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0</v>
      </c>
    </row>
    <row r="144" spans="1:28" x14ac:dyDescent="0.3">
      <c r="A144" s="1" t="s">
        <v>172</v>
      </c>
      <c r="B144" s="1" t="s">
        <v>31</v>
      </c>
      <c r="C144" s="3">
        <v>43831</v>
      </c>
      <c r="D144" s="3">
        <v>44136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0</v>
      </c>
      <c r="AB144" s="1">
        <v>0</v>
      </c>
    </row>
    <row r="145" spans="1:28" x14ac:dyDescent="0.3">
      <c r="A145" s="1" t="s">
        <v>173</v>
      </c>
      <c r="B145" s="1" t="s">
        <v>29</v>
      </c>
      <c r="C145" s="3">
        <v>43831</v>
      </c>
      <c r="D145" s="3"/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</row>
    <row r="146" spans="1:28" x14ac:dyDescent="0.3">
      <c r="A146" s="1" t="s">
        <v>174</v>
      </c>
      <c r="B146" s="1" t="s">
        <v>29</v>
      </c>
      <c r="C146" s="3">
        <v>43831</v>
      </c>
      <c r="D146" s="3"/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</row>
    <row r="147" spans="1:28" x14ac:dyDescent="0.3">
      <c r="A147" s="1" t="s">
        <v>175</v>
      </c>
      <c r="B147" s="1" t="s">
        <v>29</v>
      </c>
      <c r="C147" s="3">
        <v>43831</v>
      </c>
      <c r="D147" s="3"/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</row>
    <row r="148" spans="1:28" x14ac:dyDescent="0.3">
      <c r="A148" s="1" t="s">
        <v>176</v>
      </c>
      <c r="B148" s="1" t="s">
        <v>29</v>
      </c>
      <c r="C148" s="3">
        <v>43831</v>
      </c>
      <c r="D148" s="3"/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1</v>
      </c>
      <c r="Z148" s="1">
        <v>1</v>
      </c>
      <c r="AA148" s="1">
        <v>1</v>
      </c>
      <c r="AB148" s="1">
        <v>1</v>
      </c>
    </row>
    <row r="149" spans="1:28" x14ac:dyDescent="0.3">
      <c r="A149" s="1" t="s">
        <v>177</v>
      </c>
      <c r="B149" s="1" t="s">
        <v>29</v>
      </c>
      <c r="C149" s="3">
        <v>43831</v>
      </c>
      <c r="D149" s="3"/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</row>
    <row r="150" spans="1:28" x14ac:dyDescent="0.3">
      <c r="A150" s="1" t="s">
        <v>178</v>
      </c>
      <c r="B150" s="1" t="s">
        <v>29</v>
      </c>
      <c r="C150" s="3">
        <v>43831</v>
      </c>
      <c r="D150" s="3"/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</row>
    <row r="151" spans="1:28" x14ac:dyDescent="0.3">
      <c r="A151" s="1" t="s">
        <v>179</v>
      </c>
      <c r="B151" s="1" t="s">
        <v>29</v>
      </c>
      <c r="C151" s="3">
        <v>43831</v>
      </c>
      <c r="D151" s="3"/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</row>
    <row r="152" spans="1:28" x14ac:dyDescent="0.3">
      <c r="A152" s="1" t="s">
        <v>180</v>
      </c>
      <c r="B152" s="1" t="s">
        <v>29</v>
      </c>
      <c r="C152" s="3">
        <v>43831</v>
      </c>
      <c r="D152" s="3"/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</row>
    <row r="153" spans="1:28" x14ac:dyDescent="0.3">
      <c r="A153" s="1" t="s">
        <v>181</v>
      </c>
      <c r="B153" s="1" t="s">
        <v>29</v>
      </c>
      <c r="C153" s="3">
        <v>43831</v>
      </c>
      <c r="D153" s="3"/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</row>
    <row r="154" spans="1:28" x14ac:dyDescent="0.3">
      <c r="A154" s="1" t="s">
        <v>182</v>
      </c>
      <c r="B154" s="1" t="s">
        <v>29</v>
      </c>
      <c r="C154" s="3">
        <v>43831</v>
      </c>
      <c r="D154" s="3"/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</row>
    <row r="155" spans="1:28" x14ac:dyDescent="0.3">
      <c r="A155" s="1" t="s">
        <v>183</v>
      </c>
      <c r="B155" s="1" t="s">
        <v>29</v>
      </c>
      <c r="C155" s="3">
        <v>43831</v>
      </c>
      <c r="D155" s="3"/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</row>
    <row r="156" spans="1:28" x14ac:dyDescent="0.3">
      <c r="A156" s="1" t="s">
        <v>184</v>
      </c>
      <c r="B156" s="1" t="s">
        <v>29</v>
      </c>
      <c r="C156" s="3">
        <v>43862</v>
      </c>
      <c r="D156" s="3"/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</row>
    <row r="157" spans="1:28" x14ac:dyDescent="0.3">
      <c r="A157" s="1" t="s">
        <v>185</v>
      </c>
      <c r="B157" s="1" t="s">
        <v>29</v>
      </c>
      <c r="C157" s="3">
        <v>43862</v>
      </c>
      <c r="D157" s="3"/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</row>
    <row r="158" spans="1:28" x14ac:dyDescent="0.3">
      <c r="A158" s="1" t="s">
        <v>186</v>
      </c>
      <c r="B158" s="1" t="s">
        <v>31</v>
      </c>
      <c r="C158" s="3">
        <v>43862</v>
      </c>
      <c r="D158" s="3">
        <v>43922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3">
      <c r="A159" s="1" t="s">
        <v>187</v>
      </c>
      <c r="B159" s="1" t="s">
        <v>29</v>
      </c>
      <c r="C159" s="3">
        <v>43862</v>
      </c>
      <c r="D159" s="3"/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</row>
    <row r="160" spans="1:28" x14ac:dyDescent="0.3">
      <c r="A160" s="1" t="s">
        <v>188</v>
      </c>
      <c r="B160" s="1" t="s">
        <v>29</v>
      </c>
      <c r="C160" s="3">
        <v>43862</v>
      </c>
      <c r="D160" s="3"/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</row>
    <row r="161" spans="1:28" x14ac:dyDescent="0.3">
      <c r="A161" s="1" t="s">
        <v>189</v>
      </c>
      <c r="B161" s="1" t="s">
        <v>29</v>
      </c>
      <c r="C161" s="3">
        <v>43862</v>
      </c>
      <c r="D161" s="3"/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</row>
    <row r="162" spans="1:28" x14ac:dyDescent="0.3">
      <c r="A162" s="1" t="s">
        <v>190</v>
      </c>
      <c r="B162" s="1" t="s">
        <v>31</v>
      </c>
      <c r="C162" s="3">
        <v>43862</v>
      </c>
      <c r="D162" s="3">
        <v>44166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0</v>
      </c>
    </row>
    <row r="163" spans="1:28" x14ac:dyDescent="0.3">
      <c r="A163" s="1" t="s">
        <v>191</v>
      </c>
      <c r="B163" s="1" t="s">
        <v>29</v>
      </c>
      <c r="C163" s="3">
        <v>43862</v>
      </c>
      <c r="D163" s="3"/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</row>
    <row r="164" spans="1:28" x14ac:dyDescent="0.3">
      <c r="A164" s="1" t="s">
        <v>192</v>
      </c>
      <c r="B164" s="1" t="s">
        <v>29</v>
      </c>
      <c r="C164" s="3">
        <v>43862</v>
      </c>
      <c r="D164" s="3"/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</row>
    <row r="165" spans="1:28" x14ac:dyDescent="0.3">
      <c r="A165" s="1" t="s">
        <v>193</v>
      </c>
      <c r="B165" s="1" t="s">
        <v>29</v>
      </c>
      <c r="C165" s="3">
        <v>43862</v>
      </c>
      <c r="D165" s="3"/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</row>
    <row r="166" spans="1:28" x14ac:dyDescent="0.3">
      <c r="A166" s="1" t="s">
        <v>194</v>
      </c>
      <c r="B166" s="1" t="s">
        <v>29</v>
      </c>
      <c r="C166" s="3">
        <v>43862</v>
      </c>
      <c r="D166" s="3"/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</row>
    <row r="167" spans="1:28" x14ac:dyDescent="0.3">
      <c r="A167" s="1" t="s">
        <v>195</v>
      </c>
      <c r="B167" s="1" t="s">
        <v>29</v>
      </c>
      <c r="C167" s="3">
        <v>43891</v>
      </c>
      <c r="D167" s="3"/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</row>
    <row r="168" spans="1:28" x14ac:dyDescent="0.3">
      <c r="A168" s="1" t="s">
        <v>196</v>
      </c>
      <c r="B168" s="1" t="s">
        <v>29</v>
      </c>
      <c r="C168" s="3">
        <v>43891</v>
      </c>
      <c r="D168" s="3"/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</row>
    <row r="169" spans="1:28" x14ac:dyDescent="0.3">
      <c r="A169" s="1" t="s">
        <v>197</v>
      </c>
      <c r="B169" s="1" t="s">
        <v>31</v>
      </c>
      <c r="C169" s="3">
        <v>43891</v>
      </c>
      <c r="D169" s="3">
        <v>44044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</row>
    <row r="170" spans="1:28" x14ac:dyDescent="0.3">
      <c r="A170" s="1" t="s">
        <v>198</v>
      </c>
      <c r="B170" s="1" t="s">
        <v>31</v>
      </c>
      <c r="C170" s="3">
        <v>43891</v>
      </c>
      <c r="D170" s="3">
        <v>44044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</row>
    <row r="171" spans="1:28" x14ac:dyDescent="0.3">
      <c r="A171" s="1" t="s">
        <v>199</v>
      </c>
      <c r="B171" s="1" t="s">
        <v>31</v>
      </c>
      <c r="C171" s="3">
        <v>43891</v>
      </c>
      <c r="D171" s="3">
        <v>43983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</v>
      </c>
      <c r="T171" s="1">
        <v>1</v>
      </c>
      <c r="U171" s="1">
        <v>1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</row>
    <row r="172" spans="1:28" x14ac:dyDescent="0.3">
      <c r="A172" s="1" t="s">
        <v>200</v>
      </c>
      <c r="B172" s="1" t="s">
        <v>29</v>
      </c>
      <c r="C172" s="3">
        <v>43891</v>
      </c>
      <c r="D172" s="3"/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</row>
    <row r="173" spans="1:28" x14ac:dyDescent="0.3">
      <c r="A173" s="1" t="s">
        <v>201</v>
      </c>
      <c r="B173" s="1" t="s">
        <v>29</v>
      </c>
      <c r="C173" s="3">
        <v>43891</v>
      </c>
      <c r="D173" s="3"/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</row>
    <row r="174" spans="1:28" x14ac:dyDescent="0.3">
      <c r="A174" s="1" t="s">
        <v>202</v>
      </c>
      <c r="B174" s="1" t="s">
        <v>31</v>
      </c>
      <c r="C174" s="3">
        <v>43891</v>
      </c>
      <c r="D174" s="3">
        <v>43983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1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</row>
    <row r="175" spans="1:28" x14ac:dyDescent="0.3">
      <c r="A175" s="1" t="s">
        <v>203</v>
      </c>
      <c r="B175" s="1" t="s">
        <v>31</v>
      </c>
      <c r="C175" s="3">
        <v>43891</v>
      </c>
      <c r="D175" s="3">
        <v>43983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1</v>
      </c>
      <c r="U175" s="1">
        <v>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</row>
    <row r="176" spans="1:28" x14ac:dyDescent="0.3">
      <c r="A176" s="1" t="s">
        <v>204</v>
      </c>
      <c r="B176" s="1" t="s">
        <v>29</v>
      </c>
      <c r="C176" s="3">
        <v>43891</v>
      </c>
      <c r="D176" s="3"/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</row>
    <row r="177" spans="1:28" x14ac:dyDescent="0.3">
      <c r="A177" s="1" t="s">
        <v>205</v>
      </c>
      <c r="B177" s="1" t="s">
        <v>31</v>
      </c>
      <c r="C177" s="3">
        <v>43891</v>
      </c>
      <c r="D177" s="3">
        <v>44075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</row>
    <row r="178" spans="1:28" x14ac:dyDescent="0.3">
      <c r="A178" s="1" t="s">
        <v>206</v>
      </c>
      <c r="B178" s="1" t="s">
        <v>31</v>
      </c>
      <c r="C178" s="3">
        <v>43922</v>
      </c>
      <c r="D178" s="3">
        <v>44075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</row>
    <row r="179" spans="1:28" x14ac:dyDescent="0.3">
      <c r="A179" s="1" t="s">
        <v>207</v>
      </c>
      <c r="B179" s="1" t="s">
        <v>29</v>
      </c>
      <c r="C179" s="3">
        <v>43922</v>
      </c>
      <c r="D179" s="3"/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</row>
    <row r="180" spans="1:28" x14ac:dyDescent="0.3">
      <c r="A180" s="1" t="s">
        <v>208</v>
      </c>
      <c r="B180" s="1" t="s">
        <v>29</v>
      </c>
      <c r="C180" s="3">
        <v>43922</v>
      </c>
      <c r="D180" s="3"/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</row>
    <row r="181" spans="1:28" x14ac:dyDescent="0.3">
      <c r="A181" s="1" t="s">
        <v>209</v>
      </c>
      <c r="B181" s="1" t="s">
        <v>29</v>
      </c>
      <c r="C181" s="3">
        <v>43922</v>
      </c>
      <c r="D181" s="3"/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</row>
    <row r="182" spans="1:28" x14ac:dyDescent="0.3">
      <c r="A182" s="1" t="s">
        <v>210</v>
      </c>
      <c r="B182" s="1" t="s">
        <v>29</v>
      </c>
      <c r="C182" s="3">
        <v>43922</v>
      </c>
      <c r="D182" s="3"/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</row>
    <row r="183" spans="1:28" x14ac:dyDescent="0.3">
      <c r="A183" s="1" t="s">
        <v>211</v>
      </c>
      <c r="B183" s="1" t="s">
        <v>31</v>
      </c>
      <c r="C183" s="3">
        <v>43922</v>
      </c>
      <c r="D183" s="3">
        <v>43983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</v>
      </c>
      <c r="U183" s="1">
        <v>1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pans="1:28" x14ac:dyDescent="0.3">
      <c r="A184" s="1" t="s">
        <v>212</v>
      </c>
      <c r="B184" s="1" t="s">
        <v>29</v>
      </c>
      <c r="C184" s="3">
        <v>43922</v>
      </c>
      <c r="D184" s="3"/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</row>
    <row r="185" spans="1:28" x14ac:dyDescent="0.3">
      <c r="A185" s="1" t="s">
        <v>213</v>
      </c>
      <c r="B185" s="1" t="s">
        <v>29</v>
      </c>
      <c r="C185" s="3">
        <v>43922</v>
      </c>
      <c r="D185" s="3"/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</row>
    <row r="186" spans="1:28" x14ac:dyDescent="0.3">
      <c r="A186" s="1" t="s">
        <v>214</v>
      </c>
      <c r="B186" s="1" t="s">
        <v>29</v>
      </c>
      <c r="C186" s="3">
        <v>43922</v>
      </c>
      <c r="D186" s="3"/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</row>
    <row r="187" spans="1:28" x14ac:dyDescent="0.3">
      <c r="A187" s="1" t="s">
        <v>215</v>
      </c>
      <c r="B187" s="1" t="s">
        <v>29</v>
      </c>
      <c r="C187" s="3">
        <v>43922</v>
      </c>
      <c r="D187" s="3"/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</row>
    <row r="188" spans="1:28" x14ac:dyDescent="0.3">
      <c r="A188" s="1" t="s">
        <v>216</v>
      </c>
      <c r="B188" s="1" t="s">
        <v>29</v>
      </c>
      <c r="C188" s="3">
        <v>43922</v>
      </c>
      <c r="D188" s="3"/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  <c r="Z188" s="1">
        <v>1</v>
      </c>
      <c r="AA188" s="1">
        <v>1</v>
      </c>
      <c r="AB188" s="1">
        <v>1</v>
      </c>
    </row>
    <row r="189" spans="1:28" x14ac:dyDescent="0.3">
      <c r="A189" s="1" t="s">
        <v>217</v>
      </c>
      <c r="B189" s="1" t="s">
        <v>29</v>
      </c>
      <c r="C189" s="3">
        <v>43922</v>
      </c>
      <c r="D189" s="3"/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</row>
    <row r="190" spans="1:28" x14ac:dyDescent="0.3">
      <c r="A190" s="1" t="s">
        <v>218</v>
      </c>
      <c r="B190" s="1" t="s">
        <v>29</v>
      </c>
      <c r="C190" s="3">
        <v>43922</v>
      </c>
      <c r="D190" s="3"/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</row>
    <row r="191" spans="1:28" x14ac:dyDescent="0.3">
      <c r="A191" s="1" t="s">
        <v>219</v>
      </c>
      <c r="B191" s="1" t="s">
        <v>29</v>
      </c>
      <c r="C191" s="3">
        <v>43922</v>
      </c>
      <c r="D191" s="3"/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</row>
    <row r="192" spans="1:28" x14ac:dyDescent="0.3">
      <c r="A192" s="1" t="s">
        <v>220</v>
      </c>
      <c r="B192" s="1" t="s">
        <v>29</v>
      </c>
      <c r="C192" s="3">
        <v>43922</v>
      </c>
      <c r="D192" s="3"/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  <c r="Z192" s="1">
        <v>1</v>
      </c>
      <c r="AA192" s="1">
        <v>1</v>
      </c>
      <c r="AB192" s="1">
        <v>1</v>
      </c>
    </row>
    <row r="193" spans="1:28" x14ac:dyDescent="0.3">
      <c r="A193" s="1" t="s">
        <v>221</v>
      </c>
      <c r="B193" s="1" t="s">
        <v>29</v>
      </c>
      <c r="C193" s="3">
        <v>43922</v>
      </c>
      <c r="D193" s="3"/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</row>
    <row r="194" spans="1:28" x14ac:dyDescent="0.3">
      <c r="A194" s="1" t="s">
        <v>222</v>
      </c>
      <c r="B194" s="1" t="s">
        <v>31</v>
      </c>
      <c r="C194" s="3">
        <v>43952</v>
      </c>
      <c r="D194" s="3">
        <v>44075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V194" s="1">
        <v>1</v>
      </c>
      <c r="W194" s="1">
        <v>1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3">
      <c r="A195" s="1" t="s">
        <v>223</v>
      </c>
      <c r="B195" s="1" t="s">
        <v>29</v>
      </c>
      <c r="C195" s="3">
        <v>43952</v>
      </c>
      <c r="D195" s="3"/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  <c r="Z195" s="1">
        <v>1</v>
      </c>
      <c r="AA195" s="1">
        <v>1</v>
      </c>
      <c r="AB195" s="1">
        <v>1</v>
      </c>
    </row>
    <row r="196" spans="1:28" x14ac:dyDescent="0.3">
      <c r="A196" s="1" t="s">
        <v>224</v>
      </c>
      <c r="B196" s="1" t="s">
        <v>29</v>
      </c>
      <c r="C196" s="3">
        <v>43952</v>
      </c>
      <c r="D196" s="3"/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</row>
    <row r="197" spans="1:28" x14ac:dyDescent="0.3">
      <c r="A197" s="1" t="s">
        <v>225</v>
      </c>
      <c r="B197" s="1" t="s">
        <v>29</v>
      </c>
      <c r="C197" s="3">
        <v>43952</v>
      </c>
      <c r="D197" s="3"/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</row>
    <row r="198" spans="1:28" x14ac:dyDescent="0.3">
      <c r="A198" s="1" t="s">
        <v>226</v>
      </c>
      <c r="B198" s="1" t="s">
        <v>31</v>
      </c>
      <c r="C198" s="3">
        <v>43952</v>
      </c>
      <c r="D198" s="3">
        <v>44075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  <c r="V198" s="1">
        <v>1</v>
      </c>
      <c r="W198" s="1">
        <v>1</v>
      </c>
      <c r="X198" s="1">
        <v>1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3">
      <c r="A199" s="1" t="s">
        <v>227</v>
      </c>
      <c r="B199" s="1" t="s">
        <v>29</v>
      </c>
      <c r="C199" s="3">
        <v>43952</v>
      </c>
      <c r="D199" s="3"/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1</v>
      </c>
    </row>
    <row r="200" spans="1:28" x14ac:dyDescent="0.3">
      <c r="A200" s="1" t="s">
        <v>228</v>
      </c>
      <c r="B200" s="1" t="s">
        <v>31</v>
      </c>
      <c r="C200" s="3">
        <v>43952</v>
      </c>
      <c r="D200" s="3">
        <v>44075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>
        <v>1</v>
      </c>
      <c r="W200" s="1">
        <v>1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3">
      <c r="A201" s="1" t="s">
        <v>229</v>
      </c>
      <c r="B201" s="1" t="s">
        <v>29</v>
      </c>
      <c r="C201" s="3">
        <v>43952</v>
      </c>
      <c r="D201" s="3"/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>
        <v>1</v>
      </c>
      <c r="AB201" s="1">
        <v>1</v>
      </c>
    </row>
    <row r="202" spans="1:28" x14ac:dyDescent="0.3">
      <c r="A202" s="1" t="s">
        <v>230</v>
      </c>
      <c r="B202" s="1" t="s">
        <v>31</v>
      </c>
      <c r="C202" s="3">
        <v>43952</v>
      </c>
      <c r="D202" s="3">
        <v>44105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0</v>
      </c>
      <c r="AA202" s="1">
        <v>0</v>
      </c>
      <c r="AB202" s="1">
        <v>0</v>
      </c>
    </row>
    <row r="203" spans="1:28" x14ac:dyDescent="0.3">
      <c r="A203" s="1" t="s">
        <v>231</v>
      </c>
      <c r="B203" s="1" t="s">
        <v>31</v>
      </c>
      <c r="C203" s="3">
        <v>43952</v>
      </c>
      <c r="D203" s="3">
        <v>44044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V203" s="1">
        <v>1</v>
      </c>
      <c r="W203" s="1">
        <v>1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3">
      <c r="A204" s="1" t="s">
        <v>232</v>
      </c>
      <c r="B204" s="1" t="s">
        <v>31</v>
      </c>
      <c r="C204" s="3">
        <v>43952</v>
      </c>
      <c r="D204" s="3">
        <v>44105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V204" s="1">
        <v>1</v>
      </c>
      <c r="W204" s="1">
        <v>1</v>
      </c>
      <c r="X204" s="1">
        <v>1</v>
      </c>
      <c r="Y204" s="1">
        <v>1</v>
      </c>
      <c r="Z204" s="1">
        <v>0</v>
      </c>
      <c r="AA204" s="1">
        <v>0</v>
      </c>
      <c r="AB204" s="1">
        <v>0</v>
      </c>
    </row>
    <row r="205" spans="1:28" x14ac:dyDescent="0.3">
      <c r="A205" s="1" t="s">
        <v>233</v>
      </c>
      <c r="B205" s="1" t="s">
        <v>29</v>
      </c>
      <c r="C205" s="3">
        <v>43952</v>
      </c>
      <c r="D205" s="3"/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1</v>
      </c>
      <c r="W205" s="1">
        <v>1</v>
      </c>
      <c r="X205" s="1">
        <v>1</v>
      </c>
      <c r="Y205" s="1">
        <v>1</v>
      </c>
      <c r="Z205" s="1">
        <v>1</v>
      </c>
      <c r="AA205" s="1">
        <v>1</v>
      </c>
      <c r="AB205" s="1">
        <v>1</v>
      </c>
    </row>
    <row r="206" spans="1:28" x14ac:dyDescent="0.3">
      <c r="A206" s="1" t="s">
        <v>234</v>
      </c>
      <c r="B206" s="1" t="s">
        <v>31</v>
      </c>
      <c r="C206" s="3">
        <v>43952</v>
      </c>
      <c r="D206" s="3">
        <v>43983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3">
      <c r="A207" s="1" t="s">
        <v>235</v>
      </c>
      <c r="B207" s="1" t="s">
        <v>29</v>
      </c>
      <c r="C207" s="3">
        <v>43952</v>
      </c>
      <c r="D207" s="3"/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>
        <v>1</v>
      </c>
    </row>
    <row r="208" spans="1:28" x14ac:dyDescent="0.3">
      <c r="A208" s="1" t="s">
        <v>236</v>
      </c>
      <c r="B208" s="1" t="s">
        <v>31</v>
      </c>
      <c r="C208" s="3">
        <v>43952</v>
      </c>
      <c r="D208" s="3">
        <v>44136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0</v>
      </c>
      <c r="AB208" s="1">
        <v>0</v>
      </c>
    </row>
    <row r="209" spans="1:28" x14ac:dyDescent="0.3">
      <c r="A209" s="1" t="s">
        <v>237</v>
      </c>
      <c r="B209" s="1" t="s">
        <v>29</v>
      </c>
      <c r="C209" s="3">
        <v>43952</v>
      </c>
      <c r="D209" s="3"/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1</v>
      </c>
      <c r="V209" s="1">
        <v>1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1</v>
      </c>
    </row>
    <row r="210" spans="1:28" x14ac:dyDescent="0.3">
      <c r="A210" s="1" t="s">
        <v>238</v>
      </c>
      <c r="B210" s="1" t="s">
        <v>29</v>
      </c>
      <c r="C210" s="3">
        <v>43952</v>
      </c>
      <c r="D210" s="3"/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</row>
    <row r="211" spans="1:28" x14ac:dyDescent="0.3">
      <c r="A211" s="1" t="s">
        <v>239</v>
      </c>
      <c r="B211" s="1" t="s">
        <v>31</v>
      </c>
      <c r="C211" s="3">
        <v>43952</v>
      </c>
      <c r="D211" s="3">
        <v>44075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</v>
      </c>
      <c r="V211" s="1">
        <v>1</v>
      </c>
      <c r="W211" s="1">
        <v>1</v>
      </c>
      <c r="X211" s="1">
        <v>1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3">
      <c r="A212" s="1" t="s">
        <v>240</v>
      </c>
      <c r="B212" s="1" t="s">
        <v>29</v>
      </c>
      <c r="C212" s="3">
        <v>43952</v>
      </c>
      <c r="D212" s="3"/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1">
        <v>1</v>
      </c>
      <c r="AB212" s="1">
        <v>1</v>
      </c>
    </row>
    <row r="213" spans="1:28" x14ac:dyDescent="0.3">
      <c r="A213" s="1" t="s">
        <v>241</v>
      </c>
      <c r="B213" s="1" t="s">
        <v>29</v>
      </c>
      <c r="C213" s="3">
        <v>43952</v>
      </c>
      <c r="D213" s="3"/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V213" s="1">
        <v>1</v>
      </c>
      <c r="W213" s="1">
        <v>1</v>
      </c>
      <c r="X213" s="1">
        <v>1</v>
      </c>
      <c r="Y213" s="1">
        <v>1</v>
      </c>
      <c r="Z213" s="1">
        <v>1</v>
      </c>
      <c r="AA213" s="1">
        <v>1</v>
      </c>
      <c r="AB213" s="1">
        <v>1</v>
      </c>
    </row>
    <row r="214" spans="1:28" x14ac:dyDescent="0.3">
      <c r="A214" s="1" t="s">
        <v>242</v>
      </c>
      <c r="B214" s="1" t="s">
        <v>29</v>
      </c>
      <c r="C214" s="3">
        <v>43952</v>
      </c>
      <c r="D214" s="3"/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</row>
    <row r="215" spans="1:28" x14ac:dyDescent="0.3">
      <c r="A215" s="1" t="s">
        <v>243</v>
      </c>
      <c r="B215" s="1" t="s">
        <v>29</v>
      </c>
      <c r="C215" s="3">
        <v>43952</v>
      </c>
      <c r="D215" s="3"/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</row>
    <row r="216" spans="1:28" x14ac:dyDescent="0.3">
      <c r="A216" s="1" t="s">
        <v>244</v>
      </c>
      <c r="B216" s="1" t="s">
        <v>29</v>
      </c>
      <c r="C216" s="3">
        <v>43952</v>
      </c>
      <c r="D216" s="3"/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1</v>
      </c>
      <c r="W216" s="1">
        <v>1</v>
      </c>
      <c r="X216" s="1">
        <v>1</v>
      </c>
      <c r="Y216" s="1">
        <v>1</v>
      </c>
      <c r="Z216" s="1">
        <v>1</v>
      </c>
      <c r="AA216" s="1">
        <v>1</v>
      </c>
      <c r="AB216" s="1">
        <v>1</v>
      </c>
    </row>
    <row r="217" spans="1:28" x14ac:dyDescent="0.3">
      <c r="A217" s="1" t="s">
        <v>245</v>
      </c>
      <c r="B217" s="1" t="s">
        <v>29</v>
      </c>
      <c r="C217" s="3">
        <v>43952</v>
      </c>
      <c r="D217" s="3"/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</row>
    <row r="218" spans="1:28" x14ac:dyDescent="0.3">
      <c r="A218" s="1" t="s">
        <v>246</v>
      </c>
      <c r="B218" s="1" t="s">
        <v>29</v>
      </c>
      <c r="C218" s="3">
        <v>43952</v>
      </c>
      <c r="D218" s="3"/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</row>
    <row r="219" spans="1:28" x14ac:dyDescent="0.3">
      <c r="A219" s="1" t="s">
        <v>247</v>
      </c>
      <c r="B219" s="1" t="s">
        <v>31</v>
      </c>
      <c r="C219" s="3">
        <v>43983</v>
      </c>
      <c r="D219" s="3">
        <v>44166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</v>
      </c>
      <c r="W219" s="1">
        <v>1</v>
      </c>
      <c r="X219" s="1">
        <v>1</v>
      </c>
      <c r="Y219" s="1">
        <v>1</v>
      </c>
      <c r="Z219" s="1">
        <v>1</v>
      </c>
      <c r="AA219" s="1">
        <v>1</v>
      </c>
      <c r="AB219" s="1">
        <v>0</v>
      </c>
    </row>
    <row r="220" spans="1:28" x14ac:dyDescent="0.3">
      <c r="A220" s="1" t="s">
        <v>248</v>
      </c>
      <c r="B220" s="1" t="s">
        <v>31</v>
      </c>
      <c r="C220" s="3">
        <v>43983</v>
      </c>
      <c r="D220" s="3">
        <v>44166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1</v>
      </c>
      <c r="X220" s="1">
        <v>1</v>
      </c>
      <c r="Y220" s="1">
        <v>1</v>
      </c>
      <c r="Z220" s="1">
        <v>1</v>
      </c>
      <c r="AA220" s="1">
        <v>1</v>
      </c>
      <c r="AB220" s="1">
        <v>0</v>
      </c>
    </row>
    <row r="221" spans="1:28" x14ac:dyDescent="0.3">
      <c r="A221" s="1" t="s">
        <v>249</v>
      </c>
      <c r="B221" s="1" t="s">
        <v>29</v>
      </c>
      <c r="C221" s="3">
        <v>43983</v>
      </c>
      <c r="D221" s="3"/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1</v>
      </c>
      <c r="X221" s="1">
        <v>1</v>
      </c>
      <c r="Y221" s="1">
        <v>1</v>
      </c>
      <c r="Z221" s="1">
        <v>1</v>
      </c>
      <c r="AA221" s="1">
        <v>1</v>
      </c>
      <c r="AB221" s="1">
        <v>1</v>
      </c>
    </row>
    <row r="222" spans="1:28" x14ac:dyDescent="0.3">
      <c r="A222" s="1" t="s">
        <v>250</v>
      </c>
      <c r="B222" s="1" t="s">
        <v>29</v>
      </c>
      <c r="C222" s="3">
        <v>43983</v>
      </c>
      <c r="D222" s="3"/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1">
        <v>1</v>
      </c>
      <c r="AB222" s="1">
        <v>1</v>
      </c>
    </row>
    <row r="223" spans="1:28" x14ac:dyDescent="0.3">
      <c r="A223" s="1" t="s">
        <v>251</v>
      </c>
      <c r="B223" s="1" t="s">
        <v>29</v>
      </c>
      <c r="C223" s="3">
        <v>43983</v>
      </c>
      <c r="D223" s="3"/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1</v>
      </c>
    </row>
    <row r="224" spans="1:28" x14ac:dyDescent="0.3">
      <c r="A224" s="1" t="s">
        <v>252</v>
      </c>
      <c r="B224" s="1" t="s">
        <v>31</v>
      </c>
      <c r="C224" s="3">
        <v>43983</v>
      </c>
      <c r="D224" s="3">
        <v>44075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1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</row>
    <row r="225" spans="1:28" x14ac:dyDescent="0.3">
      <c r="A225" s="1" t="s">
        <v>253</v>
      </c>
      <c r="B225" s="1" t="s">
        <v>29</v>
      </c>
      <c r="C225" s="3">
        <v>43983</v>
      </c>
      <c r="D225" s="3"/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1</v>
      </c>
      <c r="X225" s="1">
        <v>1</v>
      </c>
      <c r="Y225" s="1">
        <v>1</v>
      </c>
      <c r="Z225" s="1">
        <v>1</v>
      </c>
      <c r="AA225" s="1">
        <v>1</v>
      </c>
      <c r="AB225" s="1">
        <v>1</v>
      </c>
    </row>
    <row r="226" spans="1:28" x14ac:dyDescent="0.3">
      <c r="A226" s="1" t="s">
        <v>254</v>
      </c>
      <c r="B226" s="1" t="s">
        <v>29</v>
      </c>
      <c r="C226" s="3">
        <v>43983</v>
      </c>
      <c r="D226" s="3"/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</row>
    <row r="227" spans="1:28" x14ac:dyDescent="0.3">
      <c r="A227" s="1" t="s">
        <v>255</v>
      </c>
      <c r="B227" s="1" t="s">
        <v>29</v>
      </c>
      <c r="C227" s="3">
        <v>43983</v>
      </c>
      <c r="D227" s="3"/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</row>
    <row r="228" spans="1:28" x14ac:dyDescent="0.3">
      <c r="A228" s="1" t="s">
        <v>256</v>
      </c>
      <c r="B228" s="1" t="s">
        <v>29</v>
      </c>
      <c r="C228" s="3">
        <v>43983</v>
      </c>
      <c r="D228" s="3"/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1</v>
      </c>
      <c r="X228" s="1">
        <v>1</v>
      </c>
      <c r="Y228" s="1">
        <v>1</v>
      </c>
      <c r="Z228" s="1">
        <v>1</v>
      </c>
      <c r="AA228" s="1">
        <v>1</v>
      </c>
      <c r="AB228" s="1">
        <v>1</v>
      </c>
    </row>
    <row r="229" spans="1:28" x14ac:dyDescent="0.3">
      <c r="A229" s="1" t="s">
        <v>257</v>
      </c>
      <c r="B229" s="1" t="s">
        <v>29</v>
      </c>
      <c r="C229" s="3">
        <v>43983</v>
      </c>
      <c r="D229" s="3"/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1</v>
      </c>
      <c r="X229" s="1">
        <v>1</v>
      </c>
      <c r="Y229" s="1">
        <v>1</v>
      </c>
      <c r="Z229" s="1">
        <v>1</v>
      </c>
      <c r="AA229" s="1">
        <v>1</v>
      </c>
      <c r="AB229" s="1">
        <v>1</v>
      </c>
    </row>
    <row r="230" spans="1:28" x14ac:dyDescent="0.3">
      <c r="A230" s="1" t="s">
        <v>258</v>
      </c>
      <c r="B230" s="1" t="s">
        <v>29</v>
      </c>
      <c r="C230" s="3">
        <v>43983</v>
      </c>
      <c r="D230" s="3"/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</v>
      </c>
      <c r="W230" s="1">
        <v>1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</row>
    <row r="231" spans="1:28" x14ac:dyDescent="0.3">
      <c r="A231" s="1" t="s">
        <v>259</v>
      </c>
      <c r="B231" s="1" t="s">
        <v>29</v>
      </c>
      <c r="C231" s="3">
        <v>43983</v>
      </c>
      <c r="D231" s="3"/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>
        <v>1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</row>
    <row r="232" spans="1:28" x14ac:dyDescent="0.3">
      <c r="A232" s="1" t="s">
        <v>260</v>
      </c>
      <c r="B232" s="1" t="s">
        <v>31</v>
      </c>
      <c r="C232" s="3">
        <v>43983</v>
      </c>
      <c r="D232" s="3">
        <v>44166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1</v>
      </c>
      <c r="X232" s="1">
        <v>1</v>
      </c>
      <c r="Y232" s="1">
        <v>1</v>
      </c>
      <c r="Z232" s="1">
        <v>1</v>
      </c>
      <c r="AA232" s="1">
        <v>1</v>
      </c>
      <c r="AB232" s="1">
        <v>0</v>
      </c>
    </row>
    <row r="233" spans="1:28" x14ac:dyDescent="0.3">
      <c r="A233" s="1" t="s">
        <v>261</v>
      </c>
      <c r="B233" s="1" t="s">
        <v>29</v>
      </c>
      <c r="C233" s="3">
        <v>43983</v>
      </c>
      <c r="D233" s="3"/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1</v>
      </c>
      <c r="X233" s="1">
        <v>1</v>
      </c>
      <c r="Y233" s="1">
        <v>1</v>
      </c>
      <c r="Z233" s="1">
        <v>1</v>
      </c>
      <c r="AA233" s="1">
        <v>1</v>
      </c>
      <c r="AB233" s="1">
        <v>1</v>
      </c>
    </row>
    <row r="234" spans="1:28" x14ac:dyDescent="0.3">
      <c r="A234" s="1" t="s">
        <v>262</v>
      </c>
      <c r="B234" s="1" t="s">
        <v>31</v>
      </c>
      <c r="C234" s="3">
        <v>43983</v>
      </c>
      <c r="D234" s="3">
        <v>44136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1</v>
      </c>
      <c r="X234" s="1">
        <v>1</v>
      </c>
      <c r="Y234" s="1">
        <v>1</v>
      </c>
      <c r="Z234" s="1">
        <v>1</v>
      </c>
      <c r="AA234" s="1">
        <v>0</v>
      </c>
      <c r="AB234" s="1">
        <v>0</v>
      </c>
    </row>
    <row r="235" spans="1:28" x14ac:dyDescent="0.3">
      <c r="A235" s="1" t="s">
        <v>263</v>
      </c>
      <c r="B235" s="1" t="s">
        <v>29</v>
      </c>
      <c r="C235" s="3">
        <v>43983</v>
      </c>
      <c r="D235" s="3"/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1</v>
      </c>
      <c r="X235" s="1">
        <v>1</v>
      </c>
      <c r="Y235" s="1">
        <v>1</v>
      </c>
      <c r="Z235" s="1">
        <v>1</v>
      </c>
      <c r="AA235" s="1">
        <v>1</v>
      </c>
      <c r="AB235" s="1">
        <v>1</v>
      </c>
    </row>
    <row r="236" spans="1:28" x14ac:dyDescent="0.3">
      <c r="A236" s="1" t="s">
        <v>264</v>
      </c>
      <c r="B236" s="1" t="s">
        <v>29</v>
      </c>
      <c r="C236" s="3">
        <v>43983</v>
      </c>
      <c r="D236" s="3"/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1</v>
      </c>
      <c r="X236" s="1">
        <v>1</v>
      </c>
      <c r="Y236" s="1">
        <v>1</v>
      </c>
      <c r="Z236" s="1">
        <v>1</v>
      </c>
      <c r="AA236" s="1">
        <v>1</v>
      </c>
      <c r="AB236" s="1">
        <v>1</v>
      </c>
    </row>
    <row r="237" spans="1:28" x14ac:dyDescent="0.3">
      <c r="A237" s="1" t="s">
        <v>265</v>
      </c>
      <c r="B237" s="1" t="s">
        <v>29</v>
      </c>
      <c r="C237" s="3">
        <v>43983</v>
      </c>
      <c r="D237" s="3"/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1</v>
      </c>
      <c r="X237" s="1">
        <v>1</v>
      </c>
      <c r="Y237" s="1">
        <v>1</v>
      </c>
      <c r="Z237" s="1">
        <v>1</v>
      </c>
      <c r="AA237" s="1">
        <v>1</v>
      </c>
      <c r="AB237" s="1">
        <v>1</v>
      </c>
    </row>
    <row r="238" spans="1:28" x14ac:dyDescent="0.3">
      <c r="A238" s="1" t="s">
        <v>266</v>
      </c>
      <c r="B238" s="1" t="s">
        <v>29</v>
      </c>
      <c r="C238" s="3">
        <v>43983</v>
      </c>
      <c r="D238" s="3"/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</row>
    <row r="239" spans="1:28" x14ac:dyDescent="0.3">
      <c r="A239" s="1" t="s">
        <v>267</v>
      </c>
      <c r="B239" s="1" t="s">
        <v>29</v>
      </c>
      <c r="C239" s="3">
        <v>43983</v>
      </c>
      <c r="D239" s="3"/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</row>
    <row r="240" spans="1:28" x14ac:dyDescent="0.3">
      <c r="A240" s="1" t="s">
        <v>268</v>
      </c>
      <c r="B240" s="1" t="s">
        <v>31</v>
      </c>
      <c r="C240" s="3">
        <v>43983</v>
      </c>
      <c r="D240" s="3">
        <v>44075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1</v>
      </c>
      <c r="X240" s="1">
        <v>1</v>
      </c>
      <c r="Y240" s="1">
        <v>0</v>
      </c>
      <c r="Z240" s="1">
        <v>0</v>
      </c>
      <c r="AA240" s="1">
        <v>0</v>
      </c>
      <c r="AB240" s="1">
        <v>0</v>
      </c>
    </row>
    <row r="241" spans="1:28" x14ac:dyDescent="0.3">
      <c r="A241" s="1" t="s">
        <v>269</v>
      </c>
      <c r="B241" s="1" t="s">
        <v>29</v>
      </c>
      <c r="C241" s="3">
        <v>44013</v>
      </c>
      <c r="D241" s="3"/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</row>
    <row r="242" spans="1:28" x14ac:dyDescent="0.3">
      <c r="A242" s="1" t="s">
        <v>270</v>
      </c>
      <c r="B242" s="1" t="s">
        <v>29</v>
      </c>
      <c r="C242" s="3">
        <v>44013</v>
      </c>
      <c r="D242" s="3"/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</row>
    <row r="243" spans="1:28" x14ac:dyDescent="0.3">
      <c r="A243" s="1" t="s">
        <v>271</v>
      </c>
      <c r="B243" s="1" t="s">
        <v>29</v>
      </c>
      <c r="C243" s="3">
        <v>44013</v>
      </c>
      <c r="D243" s="3"/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</row>
    <row r="244" spans="1:28" x14ac:dyDescent="0.3">
      <c r="A244" s="1" t="s">
        <v>272</v>
      </c>
      <c r="B244" s="1" t="s">
        <v>31</v>
      </c>
      <c r="C244" s="3">
        <v>44013</v>
      </c>
      <c r="D244" s="3">
        <v>44136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</v>
      </c>
      <c r="Y244" s="1">
        <v>1</v>
      </c>
      <c r="Z244" s="1">
        <v>1</v>
      </c>
      <c r="AA244" s="1">
        <v>0</v>
      </c>
      <c r="AB244" s="1">
        <v>0</v>
      </c>
    </row>
    <row r="245" spans="1:28" x14ac:dyDescent="0.3">
      <c r="A245" s="1" t="s">
        <v>273</v>
      </c>
      <c r="B245" s="1" t="s">
        <v>31</v>
      </c>
      <c r="C245" s="3">
        <v>44013</v>
      </c>
      <c r="D245" s="3">
        <v>44136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1</v>
      </c>
      <c r="Y245" s="1">
        <v>1</v>
      </c>
      <c r="Z245" s="1">
        <v>1</v>
      </c>
      <c r="AA245" s="1">
        <v>0</v>
      </c>
      <c r="AB245" s="1">
        <v>0</v>
      </c>
    </row>
    <row r="246" spans="1:28" x14ac:dyDescent="0.3">
      <c r="A246" s="1" t="s">
        <v>274</v>
      </c>
      <c r="B246" s="1" t="s">
        <v>31</v>
      </c>
      <c r="C246" s="3">
        <v>44013</v>
      </c>
      <c r="D246" s="3">
        <v>44075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</row>
    <row r="247" spans="1:28" x14ac:dyDescent="0.3">
      <c r="A247" s="1" t="s">
        <v>275</v>
      </c>
      <c r="B247" s="1" t="s">
        <v>29</v>
      </c>
      <c r="C247" s="3">
        <v>44013</v>
      </c>
      <c r="D247" s="3"/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</row>
    <row r="248" spans="1:28" x14ac:dyDescent="0.3">
      <c r="A248" s="1" t="s">
        <v>276</v>
      </c>
      <c r="B248" s="1" t="s">
        <v>29</v>
      </c>
      <c r="C248" s="3">
        <v>44013</v>
      </c>
      <c r="D248" s="3"/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</row>
    <row r="249" spans="1:28" x14ac:dyDescent="0.3">
      <c r="A249" s="1" t="s">
        <v>277</v>
      </c>
      <c r="B249" s="1" t="s">
        <v>29</v>
      </c>
      <c r="C249" s="3">
        <v>44013</v>
      </c>
      <c r="D249" s="3"/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1</v>
      </c>
      <c r="Y249" s="1">
        <v>1</v>
      </c>
      <c r="Z249" s="1">
        <v>1</v>
      </c>
      <c r="AA249" s="1">
        <v>1</v>
      </c>
      <c r="AB249" s="1">
        <v>1</v>
      </c>
    </row>
    <row r="250" spans="1:28" x14ac:dyDescent="0.3">
      <c r="A250" s="1" t="s">
        <v>278</v>
      </c>
      <c r="B250" s="1" t="s">
        <v>29</v>
      </c>
      <c r="C250" s="3">
        <v>44013</v>
      </c>
      <c r="D250" s="3"/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1</v>
      </c>
    </row>
    <row r="251" spans="1:28" x14ac:dyDescent="0.3">
      <c r="A251" s="1" t="s">
        <v>279</v>
      </c>
      <c r="B251" s="1" t="s">
        <v>29</v>
      </c>
      <c r="C251" s="3">
        <v>44013</v>
      </c>
      <c r="D251" s="3"/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</v>
      </c>
      <c r="Y251" s="1">
        <v>1</v>
      </c>
      <c r="Z251" s="1">
        <v>1</v>
      </c>
      <c r="AA251" s="1">
        <v>1</v>
      </c>
      <c r="AB251" s="1">
        <v>1</v>
      </c>
    </row>
    <row r="252" spans="1:28" x14ac:dyDescent="0.3">
      <c r="A252" s="1" t="s">
        <v>280</v>
      </c>
      <c r="B252" s="1" t="s">
        <v>29</v>
      </c>
      <c r="C252" s="3">
        <v>44013</v>
      </c>
      <c r="D252" s="3"/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</row>
    <row r="253" spans="1:28" x14ac:dyDescent="0.3">
      <c r="A253" s="1" t="s">
        <v>281</v>
      </c>
      <c r="B253" s="1" t="s">
        <v>29</v>
      </c>
      <c r="C253" s="3">
        <v>44013</v>
      </c>
      <c r="D253" s="3"/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</row>
    <row r="254" spans="1:28" x14ac:dyDescent="0.3">
      <c r="A254" s="1" t="s">
        <v>282</v>
      </c>
      <c r="B254" s="1" t="s">
        <v>29</v>
      </c>
      <c r="C254" s="3">
        <v>44013</v>
      </c>
      <c r="D254" s="3"/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1</v>
      </c>
    </row>
    <row r="255" spans="1:28" x14ac:dyDescent="0.3">
      <c r="A255" s="1" t="s">
        <v>283</v>
      </c>
      <c r="B255" s="1" t="s">
        <v>29</v>
      </c>
      <c r="C255" s="3">
        <v>44013</v>
      </c>
      <c r="D255" s="3"/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</row>
    <row r="256" spans="1:28" x14ac:dyDescent="0.3">
      <c r="A256" s="1" t="s">
        <v>284</v>
      </c>
      <c r="B256" s="1" t="s">
        <v>29</v>
      </c>
      <c r="C256" s="3">
        <v>44013</v>
      </c>
      <c r="D256" s="3"/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</row>
    <row r="257" spans="1:28" x14ac:dyDescent="0.3">
      <c r="A257" s="1" t="s">
        <v>285</v>
      </c>
      <c r="B257" s="1" t="s">
        <v>29</v>
      </c>
      <c r="C257" s="3">
        <v>44013</v>
      </c>
      <c r="D257" s="3"/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</row>
    <row r="258" spans="1:28" x14ac:dyDescent="0.3">
      <c r="A258" s="1" t="s">
        <v>286</v>
      </c>
      <c r="B258" s="1" t="s">
        <v>29</v>
      </c>
      <c r="C258" s="3">
        <v>44013</v>
      </c>
      <c r="D258" s="3"/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1</v>
      </c>
    </row>
    <row r="259" spans="1:28" x14ac:dyDescent="0.3">
      <c r="A259" s="1" t="s">
        <v>287</v>
      </c>
      <c r="B259" s="1" t="s">
        <v>29</v>
      </c>
      <c r="C259" s="3">
        <v>44013</v>
      </c>
      <c r="D259" s="3"/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1</v>
      </c>
    </row>
    <row r="260" spans="1:28" x14ac:dyDescent="0.3">
      <c r="A260" s="1" t="s">
        <v>288</v>
      </c>
      <c r="B260" s="1" t="s">
        <v>29</v>
      </c>
      <c r="C260" s="3">
        <v>44013</v>
      </c>
      <c r="D260" s="3"/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</row>
    <row r="261" spans="1:28" x14ac:dyDescent="0.3">
      <c r="A261" s="1" t="s">
        <v>289</v>
      </c>
      <c r="B261" s="1" t="s">
        <v>29</v>
      </c>
      <c r="C261" s="3">
        <v>44013</v>
      </c>
      <c r="D261" s="3"/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1</v>
      </c>
      <c r="Y261" s="1">
        <v>1</v>
      </c>
      <c r="Z261" s="1">
        <v>1</v>
      </c>
      <c r="AA261" s="1">
        <v>1</v>
      </c>
      <c r="AB261" s="1">
        <v>1</v>
      </c>
    </row>
    <row r="262" spans="1:28" x14ac:dyDescent="0.3">
      <c r="A262" s="1" t="s">
        <v>290</v>
      </c>
      <c r="B262" s="1" t="s">
        <v>29</v>
      </c>
      <c r="C262" s="3">
        <v>44044</v>
      </c>
      <c r="D262" s="3"/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</row>
    <row r="263" spans="1:28" x14ac:dyDescent="0.3">
      <c r="A263" s="1" t="s">
        <v>291</v>
      </c>
      <c r="B263" s="1" t="s">
        <v>31</v>
      </c>
      <c r="C263" s="3">
        <v>44044</v>
      </c>
      <c r="D263" s="3">
        <v>44136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1</v>
      </c>
      <c r="Y263" s="1">
        <v>1</v>
      </c>
      <c r="Z263" s="1">
        <v>1</v>
      </c>
      <c r="AA263" s="1">
        <v>0</v>
      </c>
      <c r="AB263" s="1">
        <v>0</v>
      </c>
    </row>
    <row r="264" spans="1:28" x14ac:dyDescent="0.3">
      <c r="A264" s="1" t="s">
        <v>292</v>
      </c>
      <c r="B264" s="1" t="s">
        <v>29</v>
      </c>
      <c r="C264" s="3">
        <v>44044</v>
      </c>
      <c r="D264" s="3"/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</v>
      </c>
      <c r="Y264" s="1">
        <v>1</v>
      </c>
      <c r="Z264" s="1">
        <v>1</v>
      </c>
      <c r="AA264" s="1">
        <v>1</v>
      </c>
      <c r="AB264" s="1">
        <v>1</v>
      </c>
    </row>
    <row r="265" spans="1:28" x14ac:dyDescent="0.3">
      <c r="A265" s="1" t="s">
        <v>293</v>
      </c>
      <c r="B265" s="1" t="s">
        <v>31</v>
      </c>
      <c r="C265" s="3">
        <v>44044</v>
      </c>
      <c r="D265" s="3">
        <v>44166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1</v>
      </c>
      <c r="Z265" s="1">
        <v>1</v>
      </c>
      <c r="AA265" s="1">
        <v>1</v>
      </c>
      <c r="AB265" s="1">
        <v>0</v>
      </c>
    </row>
    <row r="266" spans="1:28" x14ac:dyDescent="0.3">
      <c r="A266" s="1" t="s">
        <v>294</v>
      </c>
      <c r="B266" s="1" t="s">
        <v>29</v>
      </c>
      <c r="C266" s="3">
        <v>44044</v>
      </c>
      <c r="D266" s="3"/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1</v>
      </c>
      <c r="Y266" s="1">
        <v>1</v>
      </c>
      <c r="Z266" s="1">
        <v>1</v>
      </c>
      <c r="AA266" s="1">
        <v>1</v>
      </c>
      <c r="AB266" s="1">
        <v>1</v>
      </c>
    </row>
    <row r="267" spans="1:28" x14ac:dyDescent="0.3">
      <c r="A267" s="1" t="s">
        <v>295</v>
      </c>
      <c r="B267" s="1" t="s">
        <v>31</v>
      </c>
      <c r="C267" s="3">
        <v>44044</v>
      </c>
      <c r="D267" s="3">
        <v>44166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</v>
      </c>
      <c r="Y267" s="1">
        <v>1</v>
      </c>
      <c r="Z267" s="1">
        <v>1</v>
      </c>
      <c r="AA267" s="1">
        <v>1</v>
      </c>
      <c r="AB267" s="1">
        <v>0</v>
      </c>
    </row>
    <row r="268" spans="1:28" x14ac:dyDescent="0.3">
      <c r="A268" s="1" t="s">
        <v>296</v>
      </c>
      <c r="B268" s="1" t="s">
        <v>29</v>
      </c>
      <c r="C268" s="3">
        <v>44044</v>
      </c>
      <c r="D268" s="3"/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</v>
      </c>
      <c r="Y268" s="1">
        <v>1</v>
      </c>
      <c r="Z268" s="1">
        <v>1</v>
      </c>
      <c r="AA268" s="1">
        <v>1</v>
      </c>
      <c r="AB268" s="1">
        <v>1</v>
      </c>
    </row>
    <row r="269" spans="1:28" x14ac:dyDescent="0.3">
      <c r="A269" s="1" t="s">
        <v>297</v>
      </c>
      <c r="B269" s="1" t="s">
        <v>29</v>
      </c>
      <c r="C269" s="3">
        <v>44044</v>
      </c>
      <c r="D269" s="3"/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</v>
      </c>
      <c r="Y269" s="1">
        <v>1</v>
      </c>
      <c r="Z269" s="1">
        <v>1</v>
      </c>
      <c r="AA269" s="1">
        <v>1</v>
      </c>
      <c r="AB269" s="1">
        <v>1</v>
      </c>
    </row>
    <row r="270" spans="1:28" x14ac:dyDescent="0.3">
      <c r="A270" s="1" t="s">
        <v>298</v>
      </c>
      <c r="B270" s="1" t="s">
        <v>31</v>
      </c>
      <c r="C270" s="3">
        <v>44044</v>
      </c>
      <c r="D270" s="3">
        <v>44136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1</v>
      </c>
      <c r="Z270" s="1">
        <v>1</v>
      </c>
      <c r="AA270" s="1">
        <v>0</v>
      </c>
      <c r="AB270" s="1">
        <v>0</v>
      </c>
    </row>
    <row r="271" spans="1:28" x14ac:dyDescent="0.3">
      <c r="A271" s="1" t="s">
        <v>299</v>
      </c>
      <c r="B271" s="1" t="s">
        <v>29</v>
      </c>
      <c r="C271" s="3">
        <v>44044</v>
      </c>
      <c r="D271" s="3"/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</v>
      </c>
      <c r="Y271" s="1">
        <v>1</v>
      </c>
      <c r="Z271" s="1">
        <v>1</v>
      </c>
      <c r="AA271" s="1">
        <v>1</v>
      </c>
      <c r="AB271" s="1">
        <v>1</v>
      </c>
    </row>
    <row r="272" spans="1:28" x14ac:dyDescent="0.3">
      <c r="A272" s="1" t="s">
        <v>300</v>
      </c>
      <c r="B272" s="1" t="s">
        <v>29</v>
      </c>
      <c r="C272" s="3">
        <v>44044</v>
      </c>
      <c r="D272" s="3">
        <v>44105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1</v>
      </c>
      <c r="Y272" s="1">
        <v>1</v>
      </c>
      <c r="Z272" s="1">
        <v>1</v>
      </c>
      <c r="AA272" s="1">
        <v>1</v>
      </c>
      <c r="AB272" s="1">
        <v>1</v>
      </c>
    </row>
    <row r="273" spans="1:28" x14ac:dyDescent="0.3">
      <c r="A273" s="1" t="s">
        <v>301</v>
      </c>
      <c r="B273" s="1" t="s">
        <v>29</v>
      </c>
      <c r="C273" s="3">
        <v>44044</v>
      </c>
      <c r="D273" s="3"/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</v>
      </c>
      <c r="Y273" s="1">
        <v>1</v>
      </c>
      <c r="Z273" s="1">
        <v>1</v>
      </c>
      <c r="AA273" s="1">
        <v>1</v>
      </c>
      <c r="AB273" s="1">
        <v>1</v>
      </c>
    </row>
    <row r="274" spans="1:28" x14ac:dyDescent="0.3">
      <c r="A274" s="1" t="s">
        <v>302</v>
      </c>
      <c r="B274" s="1" t="s">
        <v>29</v>
      </c>
      <c r="C274" s="3">
        <v>44044</v>
      </c>
      <c r="D274" s="3"/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</v>
      </c>
      <c r="Y274" s="1">
        <v>1</v>
      </c>
      <c r="Z274" s="1">
        <v>1</v>
      </c>
      <c r="AA274" s="1">
        <v>1</v>
      </c>
      <c r="AB274" s="1">
        <v>1</v>
      </c>
    </row>
    <row r="275" spans="1:28" x14ac:dyDescent="0.3">
      <c r="A275" s="1" t="s">
        <v>303</v>
      </c>
      <c r="B275" s="1" t="s">
        <v>29</v>
      </c>
      <c r="C275" s="3">
        <v>44044</v>
      </c>
      <c r="D275" s="3"/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1</v>
      </c>
      <c r="Y275" s="1">
        <v>1</v>
      </c>
      <c r="Z275" s="1">
        <v>1</v>
      </c>
      <c r="AA275" s="1">
        <v>1</v>
      </c>
      <c r="AB275" s="1">
        <v>1</v>
      </c>
    </row>
    <row r="276" spans="1:28" x14ac:dyDescent="0.3">
      <c r="A276" s="1" t="s">
        <v>304</v>
      </c>
      <c r="B276" s="1" t="s">
        <v>29</v>
      </c>
      <c r="C276" s="3">
        <v>44044</v>
      </c>
      <c r="D276" s="3"/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1</v>
      </c>
      <c r="Y276" s="1">
        <v>1</v>
      </c>
      <c r="Z276" s="1">
        <v>1</v>
      </c>
      <c r="AA276" s="1">
        <v>1</v>
      </c>
      <c r="AB276" s="1">
        <v>1</v>
      </c>
    </row>
    <row r="277" spans="1:28" x14ac:dyDescent="0.3">
      <c r="A277" s="1" t="s">
        <v>305</v>
      </c>
      <c r="B277" s="1" t="s">
        <v>31</v>
      </c>
      <c r="C277" s="3">
        <v>44044</v>
      </c>
      <c r="D277" s="3">
        <v>44166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1</v>
      </c>
      <c r="Y277" s="1">
        <v>1</v>
      </c>
      <c r="Z277" s="1">
        <v>1</v>
      </c>
      <c r="AA277" s="1">
        <v>1</v>
      </c>
      <c r="AB277" s="1">
        <v>0</v>
      </c>
    </row>
    <row r="278" spans="1:28" x14ac:dyDescent="0.3">
      <c r="A278" s="1" t="s">
        <v>306</v>
      </c>
      <c r="B278" s="1" t="s">
        <v>29</v>
      </c>
      <c r="C278" s="3">
        <v>44044</v>
      </c>
      <c r="D278" s="3"/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1</v>
      </c>
      <c r="Z278" s="1">
        <v>1</v>
      </c>
      <c r="AA278" s="1">
        <v>1</v>
      </c>
      <c r="AB278" s="1">
        <v>1</v>
      </c>
    </row>
    <row r="279" spans="1:28" x14ac:dyDescent="0.3">
      <c r="A279" s="1" t="s">
        <v>307</v>
      </c>
      <c r="B279" s="1" t="s">
        <v>29</v>
      </c>
      <c r="C279" s="3">
        <v>44044</v>
      </c>
      <c r="D279" s="3"/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1</v>
      </c>
      <c r="Z279" s="1">
        <v>1</v>
      </c>
      <c r="AA279" s="1">
        <v>1</v>
      </c>
      <c r="AB279" s="1">
        <v>1</v>
      </c>
    </row>
    <row r="280" spans="1:28" x14ac:dyDescent="0.3">
      <c r="A280" s="1" t="s">
        <v>308</v>
      </c>
      <c r="B280" s="1" t="s">
        <v>29</v>
      </c>
      <c r="C280" s="3">
        <v>44044</v>
      </c>
      <c r="D280" s="3"/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</v>
      </c>
      <c r="Y280" s="1">
        <v>1</v>
      </c>
      <c r="Z280" s="1">
        <v>1</v>
      </c>
      <c r="AA280" s="1">
        <v>1</v>
      </c>
      <c r="AB280" s="1">
        <v>1</v>
      </c>
    </row>
    <row r="281" spans="1:28" x14ac:dyDescent="0.3">
      <c r="A281" s="1" t="s">
        <v>309</v>
      </c>
      <c r="B281" s="1" t="s">
        <v>29</v>
      </c>
      <c r="C281" s="3">
        <v>44044</v>
      </c>
      <c r="D281" s="3"/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1</v>
      </c>
      <c r="Y281" s="1">
        <v>1</v>
      </c>
      <c r="Z281" s="1">
        <v>1</v>
      </c>
      <c r="AA281" s="1">
        <v>1</v>
      </c>
      <c r="AB281" s="1">
        <v>1</v>
      </c>
    </row>
    <row r="282" spans="1:28" x14ac:dyDescent="0.3">
      <c r="A282" s="1" t="s">
        <v>310</v>
      </c>
      <c r="B282" s="1" t="s">
        <v>29</v>
      </c>
      <c r="C282" s="3">
        <v>44044</v>
      </c>
      <c r="D282" s="3"/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</v>
      </c>
      <c r="Y282" s="1">
        <v>1</v>
      </c>
      <c r="Z282" s="1">
        <v>1</v>
      </c>
      <c r="AA282" s="1">
        <v>1</v>
      </c>
      <c r="AB282" s="1">
        <v>1</v>
      </c>
    </row>
    <row r="283" spans="1:28" x14ac:dyDescent="0.3">
      <c r="A283" s="1" t="s">
        <v>311</v>
      </c>
      <c r="B283" s="1" t="s">
        <v>29</v>
      </c>
      <c r="C283" s="3">
        <v>44044</v>
      </c>
      <c r="D283" s="3"/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1</v>
      </c>
      <c r="Y283" s="1">
        <v>1</v>
      </c>
      <c r="Z283" s="1">
        <v>1</v>
      </c>
      <c r="AA283" s="1">
        <v>1</v>
      </c>
      <c r="AB283" s="1">
        <v>1</v>
      </c>
    </row>
    <row r="284" spans="1:28" x14ac:dyDescent="0.3">
      <c r="A284" s="1" t="s">
        <v>312</v>
      </c>
      <c r="B284" s="1" t="s">
        <v>29</v>
      </c>
      <c r="C284" s="3">
        <v>44044</v>
      </c>
      <c r="D284" s="3"/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1</v>
      </c>
      <c r="Z284" s="1">
        <v>1</v>
      </c>
      <c r="AA284" s="1">
        <v>1</v>
      </c>
      <c r="AB284" s="1">
        <v>1</v>
      </c>
    </row>
    <row r="285" spans="1:28" x14ac:dyDescent="0.3">
      <c r="A285" s="1" t="s">
        <v>313</v>
      </c>
      <c r="B285" s="1" t="s">
        <v>29</v>
      </c>
      <c r="C285" s="3">
        <v>44044</v>
      </c>
      <c r="D285" s="3"/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</v>
      </c>
      <c r="Y285" s="1">
        <v>1</v>
      </c>
      <c r="Z285" s="1">
        <v>1</v>
      </c>
      <c r="AA285" s="1">
        <v>1</v>
      </c>
      <c r="AB285" s="1">
        <v>1</v>
      </c>
    </row>
    <row r="286" spans="1:28" x14ac:dyDescent="0.3">
      <c r="A286" s="1" t="s">
        <v>314</v>
      </c>
      <c r="B286" s="1" t="s">
        <v>29</v>
      </c>
      <c r="C286" s="3">
        <v>44044</v>
      </c>
      <c r="D286" s="3"/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1</v>
      </c>
      <c r="Z286" s="1">
        <v>1</v>
      </c>
      <c r="AA286" s="1">
        <v>1</v>
      </c>
      <c r="AB286" s="1">
        <v>1</v>
      </c>
    </row>
    <row r="287" spans="1:28" x14ac:dyDescent="0.3">
      <c r="A287" s="1" t="s">
        <v>315</v>
      </c>
      <c r="B287" s="1" t="s">
        <v>29</v>
      </c>
      <c r="C287" s="3">
        <v>44044</v>
      </c>
      <c r="D287" s="3"/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</v>
      </c>
      <c r="Y287" s="1">
        <v>1</v>
      </c>
      <c r="Z287" s="1">
        <v>1</v>
      </c>
      <c r="AA287" s="1">
        <v>1</v>
      </c>
      <c r="AB287" s="1">
        <v>1</v>
      </c>
    </row>
    <row r="288" spans="1:28" x14ac:dyDescent="0.3">
      <c r="A288" s="1" t="s">
        <v>316</v>
      </c>
      <c r="B288" s="1" t="s">
        <v>29</v>
      </c>
      <c r="C288" s="3">
        <v>44044</v>
      </c>
      <c r="D288" s="3"/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</v>
      </c>
      <c r="Y288" s="1">
        <v>1</v>
      </c>
      <c r="Z288" s="1">
        <v>1</v>
      </c>
      <c r="AA288" s="1">
        <v>1</v>
      </c>
      <c r="AB288" s="1">
        <v>1</v>
      </c>
    </row>
    <row r="289" spans="1:28" x14ac:dyDescent="0.3">
      <c r="A289" s="1" t="s">
        <v>317</v>
      </c>
      <c r="B289" s="1" t="s">
        <v>29</v>
      </c>
      <c r="C289" s="3">
        <v>44075</v>
      </c>
      <c r="D289" s="3"/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1">
        <v>1</v>
      </c>
      <c r="AA289" s="1">
        <v>1</v>
      </c>
      <c r="AB289" s="1">
        <v>1</v>
      </c>
    </row>
    <row r="290" spans="1:28" x14ac:dyDescent="0.3">
      <c r="A290" s="1" t="s">
        <v>318</v>
      </c>
      <c r="B290" s="1" t="s">
        <v>29</v>
      </c>
      <c r="C290" s="3">
        <v>44075</v>
      </c>
      <c r="D290" s="3"/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1</v>
      </c>
      <c r="AA290" s="1">
        <v>1</v>
      </c>
      <c r="AB290" s="1">
        <v>1</v>
      </c>
    </row>
    <row r="291" spans="1:28" x14ac:dyDescent="0.3">
      <c r="A291" s="1" t="s">
        <v>319</v>
      </c>
      <c r="B291" s="1" t="s">
        <v>29</v>
      </c>
      <c r="C291" s="3">
        <v>44075</v>
      </c>
      <c r="D291" s="3"/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1</v>
      </c>
      <c r="AA291" s="1">
        <v>1</v>
      </c>
      <c r="AB291" s="1">
        <v>1</v>
      </c>
    </row>
    <row r="292" spans="1:28" x14ac:dyDescent="0.3">
      <c r="A292" s="1" t="s">
        <v>320</v>
      </c>
      <c r="B292" s="1" t="s">
        <v>29</v>
      </c>
      <c r="C292" s="3">
        <v>44075</v>
      </c>
      <c r="D292" s="3"/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1">
        <v>1</v>
      </c>
      <c r="AA292" s="1">
        <v>1</v>
      </c>
      <c r="AB292" s="1">
        <v>1</v>
      </c>
    </row>
    <row r="293" spans="1:28" x14ac:dyDescent="0.3">
      <c r="A293" s="1" t="s">
        <v>321</v>
      </c>
      <c r="B293" s="1" t="s">
        <v>29</v>
      </c>
      <c r="C293" s="3">
        <v>44075</v>
      </c>
      <c r="D293" s="3"/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1</v>
      </c>
      <c r="Z293" s="1">
        <v>1</v>
      </c>
      <c r="AA293" s="1">
        <v>1</v>
      </c>
      <c r="AB293" s="1">
        <v>1</v>
      </c>
    </row>
    <row r="294" spans="1:28" x14ac:dyDescent="0.3">
      <c r="A294" s="1" t="s">
        <v>322</v>
      </c>
      <c r="B294" s="1" t="s">
        <v>29</v>
      </c>
      <c r="C294" s="3">
        <v>44105</v>
      </c>
      <c r="D294" s="3"/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1</v>
      </c>
      <c r="AA294" s="1">
        <v>1</v>
      </c>
      <c r="AB294" s="1">
        <v>1</v>
      </c>
    </row>
    <row r="295" spans="1:28" x14ac:dyDescent="0.3">
      <c r="A295" s="1" t="s">
        <v>323</v>
      </c>
      <c r="B295" s="1" t="s">
        <v>29</v>
      </c>
      <c r="C295" s="3">
        <v>44105</v>
      </c>
      <c r="D295" s="3"/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1</v>
      </c>
      <c r="AB295" s="1">
        <v>1</v>
      </c>
    </row>
    <row r="296" spans="1:28" x14ac:dyDescent="0.3">
      <c r="A296" s="1" t="s">
        <v>324</v>
      </c>
      <c r="B296" s="1" t="s">
        <v>29</v>
      </c>
      <c r="C296" s="3">
        <v>44105</v>
      </c>
      <c r="D296" s="3"/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1</v>
      </c>
      <c r="AA296" s="1">
        <v>1</v>
      </c>
      <c r="AB296" s="1">
        <v>1</v>
      </c>
    </row>
    <row r="297" spans="1:28" x14ac:dyDescent="0.3">
      <c r="A297" s="1" t="s">
        <v>325</v>
      </c>
      <c r="B297" s="1" t="s">
        <v>29</v>
      </c>
      <c r="C297" s="3">
        <v>44105</v>
      </c>
      <c r="D297" s="3"/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1</v>
      </c>
      <c r="AA297" s="1">
        <v>1</v>
      </c>
      <c r="AB297" s="1">
        <v>1</v>
      </c>
    </row>
    <row r="298" spans="1:28" x14ac:dyDescent="0.3">
      <c r="A298" s="1" t="s">
        <v>326</v>
      </c>
      <c r="B298" s="1" t="s">
        <v>29</v>
      </c>
      <c r="C298" s="3">
        <v>44105</v>
      </c>
      <c r="D298" s="3"/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1</v>
      </c>
      <c r="AA298" s="1">
        <v>1</v>
      </c>
      <c r="AB298" s="1">
        <v>1</v>
      </c>
    </row>
    <row r="299" spans="1:28" x14ac:dyDescent="0.3">
      <c r="A299" s="1" t="s">
        <v>327</v>
      </c>
      <c r="B299" s="1" t="s">
        <v>29</v>
      </c>
      <c r="C299" s="3">
        <v>44105</v>
      </c>
      <c r="D299" s="3"/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1</v>
      </c>
      <c r="AA299" s="1">
        <v>1</v>
      </c>
      <c r="AB299" s="1">
        <v>1</v>
      </c>
    </row>
    <row r="300" spans="1:28" x14ac:dyDescent="0.3">
      <c r="A300" s="1" t="s">
        <v>328</v>
      </c>
      <c r="B300" s="1" t="s">
        <v>29</v>
      </c>
      <c r="C300" s="3">
        <v>44105</v>
      </c>
      <c r="D300" s="3"/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1</v>
      </c>
      <c r="AA300" s="1">
        <v>1</v>
      </c>
      <c r="AB300" s="1">
        <v>1</v>
      </c>
    </row>
    <row r="301" spans="1:28" x14ac:dyDescent="0.3">
      <c r="A301" s="1" t="s">
        <v>329</v>
      </c>
      <c r="B301" s="1" t="s">
        <v>29</v>
      </c>
      <c r="C301" s="3">
        <v>44105</v>
      </c>
      <c r="D301" s="3"/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1</v>
      </c>
      <c r="AA301" s="1">
        <v>1</v>
      </c>
      <c r="AB301" s="1">
        <v>1</v>
      </c>
    </row>
    <row r="302" spans="1:28" x14ac:dyDescent="0.3">
      <c r="A302" s="1" t="s">
        <v>330</v>
      </c>
      <c r="B302" s="1" t="s">
        <v>29</v>
      </c>
      <c r="C302" s="3">
        <v>44105</v>
      </c>
      <c r="D302" s="3"/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1</v>
      </c>
      <c r="AA302" s="1">
        <v>1</v>
      </c>
      <c r="AB302" s="1">
        <v>1</v>
      </c>
    </row>
    <row r="303" spans="1:28" x14ac:dyDescent="0.3">
      <c r="A303" s="1" t="s">
        <v>331</v>
      </c>
      <c r="B303" s="1" t="s">
        <v>29</v>
      </c>
      <c r="C303" s="3">
        <v>44105</v>
      </c>
      <c r="D303" s="3"/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1</v>
      </c>
      <c r="AA303" s="1">
        <v>1</v>
      </c>
      <c r="AB303" s="1">
        <v>1</v>
      </c>
    </row>
    <row r="304" spans="1:28" x14ac:dyDescent="0.3">
      <c r="A304" s="1" t="s">
        <v>332</v>
      </c>
      <c r="B304" s="1" t="s">
        <v>29</v>
      </c>
      <c r="C304" s="3">
        <v>44105</v>
      </c>
      <c r="D304" s="3"/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1</v>
      </c>
      <c r="AA304" s="1">
        <v>1</v>
      </c>
      <c r="AB304" s="1">
        <v>1</v>
      </c>
    </row>
    <row r="305" spans="1:28" x14ac:dyDescent="0.3">
      <c r="A305" s="1" t="s">
        <v>333</v>
      </c>
      <c r="B305" s="1" t="s">
        <v>29</v>
      </c>
      <c r="C305" s="3">
        <v>44105</v>
      </c>
      <c r="D305" s="3"/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1</v>
      </c>
      <c r="AB305" s="1">
        <v>1</v>
      </c>
    </row>
    <row r="306" spans="1:28" x14ac:dyDescent="0.3">
      <c r="A306" s="1" t="s">
        <v>334</v>
      </c>
      <c r="B306" s="1" t="s">
        <v>29</v>
      </c>
      <c r="C306" s="3">
        <v>44136</v>
      </c>
      <c r="D306" s="3"/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1</v>
      </c>
      <c r="AB306" s="1">
        <v>1</v>
      </c>
    </row>
    <row r="307" spans="1:28" x14ac:dyDescent="0.3">
      <c r="A307" s="1" t="s">
        <v>335</v>
      </c>
      <c r="B307" s="1" t="s">
        <v>29</v>
      </c>
      <c r="C307" s="3">
        <v>44136</v>
      </c>
      <c r="D307" s="3"/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1</v>
      </c>
      <c r="AB307" s="1">
        <v>1</v>
      </c>
    </row>
    <row r="308" spans="1:28" x14ac:dyDescent="0.3">
      <c r="A308" s="1" t="s">
        <v>336</v>
      </c>
      <c r="B308" s="1" t="s">
        <v>29</v>
      </c>
      <c r="C308" s="3">
        <v>44136</v>
      </c>
      <c r="D308" s="3"/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1</v>
      </c>
      <c r="AB308" s="1">
        <v>1</v>
      </c>
    </row>
    <row r="309" spans="1:28" x14ac:dyDescent="0.3">
      <c r="A309" s="1" t="s">
        <v>337</v>
      </c>
      <c r="B309" s="1" t="s">
        <v>29</v>
      </c>
      <c r="C309" s="3">
        <v>44136</v>
      </c>
      <c r="D309" s="3"/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1</v>
      </c>
      <c r="AB309" s="1">
        <v>1</v>
      </c>
    </row>
    <row r="310" spans="1:28" x14ac:dyDescent="0.3">
      <c r="A310" s="1" t="s">
        <v>338</v>
      </c>
      <c r="B310" s="1" t="s">
        <v>29</v>
      </c>
      <c r="C310" s="3">
        <v>44136</v>
      </c>
      <c r="D310" s="3"/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1</v>
      </c>
      <c r="AB310" s="1">
        <v>1</v>
      </c>
    </row>
    <row r="311" spans="1:28" x14ac:dyDescent="0.3">
      <c r="A311" s="1" t="s">
        <v>339</v>
      </c>
      <c r="B311" s="1" t="s">
        <v>29</v>
      </c>
      <c r="C311" s="3">
        <v>44136</v>
      </c>
      <c r="D311" s="3"/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1</v>
      </c>
      <c r="AB311" s="1">
        <v>1</v>
      </c>
    </row>
    <row r="312" spans="1:28" x14ac:dyDescent="0.3">
      <c r="A312" s="1" t="s">
        <v>340</v>
      </c>
      <c r="B312" s="1" t="s">
        <v>29</v>
      </c>
      <c r="C312" s="3">
        <v>44136</v>
      </c>
      <c r="D312" s="3"/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1</v>
      </c>
      <c r="AB312" s="1">
        <v>1</v>
      </c>
    </row>
    <row r="313" spans="1:28" x14ac:dyDescent="0.3">
      <c r="A313" s="1" t="s">
        <v>341</v>
      </c>
      <c r="B313" s="1" t="s">
        <v>29</v>
      </c>
      <c r="C313" s="3">
        <v>44136</v>
      </c>
      <c r="D313" s="3"/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1</v>
      </c>
      <c r="AB313" s="1">
        <v>1</v>
      </c>
    </row>
    <row r="314" spans="1:28" x14ac:dyDescent="0.3">
      <c r="A314" s="1" t="s">
        <v>342</v>
      </c>
      <c r="B314" s="1" t="s">
        <v>29</v>
      </c>
      <c r="C314" s="3">
        <v>44136</v>
      </c>
      <c r="D314" s="3"/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1</v>
      </c>
      <c r="AB314" s="1">
        <v>1</v>
      </c>
    </row>
    <row r="315" spans="1:28" x14ac:dyDescent="0.3">
      <c r="A315" s="1" t="s">
        <v>343</v>
      </c>
      <c r="B315" s="1" t="s">
        <v>29</v>
      </c>
      <c r="C315" s="3">
        <v>44136</v>
      </c>
      <c r="D315" s="3"/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1</v>
      </c>
      <c r="AB315" s="1">
        <v>1</v>
      </c>
    </row>
    <row r="316" spans="1:28" x14ac:dyDescent="0.3">
      <c r="A316" s="1" t="s">
        <v>344</v>
      </c>
      <c r="B316" s="1" t="s">
        <v>29</v>
      </c>
      <c r="C316" s="3">
        <v>44166</v>
      </c>
      <c r="D316" s="3"/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1</v>
      </c>
    </row>
    <row r="317" spans="1:28" x14ac:dyDescent="0.3">
      <c r="A317" s="1" t="s">
        <v>345</v>
      </c>
      <c r="B317" s="1" t="s">
        <v>29</v>
      </c>
      <c r="C317" s="3">
        <v>44166</v>
      </c>
      <c r="D317" s="3"/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1</v>
      </c>
    </row>
    <row r="318" spans="1:28" x14ac:dyDescent="0.3">
      <c r="A318" s="1" t="s">
        <v>346</v>
      </c>
      <c r="B318" s="1" t="s">
        <v>29</v>
      </c>
      <c r="C318" s="3">
        <v>44166</v>
      </c>
      <c r="D318" s="3"/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</v>
      </c>
    </row>
    <row r="319" spans="1:28" x14ac:dyDescent="0.3">
      <c r="A319" s="1" t="s">
        <v>347</v>
      </c>
      <c r="B319" s="1" t="s">
        <v>29</v>
      </c>
      <c r="C319" s="3">
        <v>44166</v>
      </c>
      <c r="D319" s="3"/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1</v>
      </c>
    </row>
    <row r="320" spans="1:28" x14ac:dyDescent="0.3">
      <c r="A320" s="1" t="s">
        <v>348</v>
      </c>
      <c r="B320" s="1" t="s">
        <v>29</v>
      </c>
      <c r="C320" s="3">
        <v>44166</v>
      </c>
      <c r="D320" s="3"/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1</v>
      </c>
    </row>
    <row r="321" spans="1:28" x14ac:dyDescent="0.3">
      <c r="A321" s="1" t="s">
        <v>349</v>
      </c>
      <c r="B321" s="1" t="s">
        <v>29</v>
      </c>
      <c r="C321" s="3">
        <v>44166</v>
      </c>
      <c r="D321" s="3"/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1</v>
      </c>
    </row>
    <row r="322" spans="1:28" x14ac:dyDescent="0.3">
      <c r="A322" s="1" t="s">
        <v>350</v>
      </c>
      <c r="B322" s="1" t="s">
        <v>29</v>
      </c>
      <c r="C322" s="3">
        <v>44166</v>
      </c>
      <c r="D322" s="3"/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1</v>
      </c>
    </row>
    <row r="323" spans="1:28" x14ac:dyDescent="0.3">
      <c r="A323" s="1" t="s">
        <v>351</v>
      </c>
      <c r="B323" s="1" t="s">
        <v>29</v>
      </c>
      <c r="C323" s="3">
        <v>44166</v>
      </c>
      <c r="D323" s="3"/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1</v>
      </c>
    </row>
    <row r="324" spans="1:28" x14ac:dyDescent="0.3">
      <c r="A324" s="1" t="s">
        <v>352</v>
      </c>
      <c r="B324" s="1" t="s">
        <v>29</v>
      </c>
      <c r="C324" s="3">
        <v>44166</v>
      </c>
      <c r="D324" s="3"/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1</v>
      </c>
    </row>
    <row r="325" spans="1:28" x14ac:dyDescent="0.3">
      <c r="A325" s="1" t="s">
        <v>353</v>
      </c>
      <c r="B325" s="1" t="s">
        <v>29</v>
      </c>
      <c r="C325" s="3">
        <v>44166</v>
      </c>
      <c r="D325" s="3"/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1</v>
      </c>
    </row>
    <row r="326" spans="1:28" x14ac:dyDescent="0.3">
      <c r="A326" s="1" t="s">
        <v>354</v>
      </c>
      <c r="B326" s="1" t="s">
        <v>29</v>
      </c>
      <c r="C326" s="3">
        <v>44166</v>
      </c>
      <c r="D326" s="3"/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1</v>
      </c>
    </row>
    <row r="327" spans="1:28" x14ac:dyDescent="0.3">
      <c r="A327" s="1" t="s">
        <v>355</v>
      </c>
      <c r="B327" s="1" t="s">
        <v>29</v>
      </c>
      <c r="C327" s="3">
        <v>44166</v>
      </c>
      <c r="D327" s="3"/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1</v>
      </c>
    </row>
    <row r="328" spans="1:28" x14ac:dyDescent="0.3">
      <c r="A328" s="1" t="s">
        <v>356</v>
      </c>
      <c r="B328" s="1" t="s">
        <v>29</v>
      </c>
      <c r="C328" s="3">
        <v>44166</v>
      </c>
      <c r="D328" s="3"/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1</v>
      </c>
    </row>
    <row r="329" spans="1:28" x14ac:dyDescent="0.3">
      <c r="A329" s="1" t="s">
        <v>357</v>
      </c>
      <c r="B329" s="1" t="s">
        <v>29</v>
      </c>
      <c r="C329" s="3">
        <v>44166</v>
      </c>
      <c r="D329" s="3"/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</v>
      </c>
    </row>
    <row r="330" spans="1:28" x14ac:dyDescent="0.3">
      <c r="A330" s="1" t="s">
        <v>358</v>
      </c>
      <c r="B330" s="1" t="s">
        <v>29</v>
      </c>
      <c r="C330" s="3">
        <v>44166</v>
      </c>
      <c r="D330" s="3"/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</v>
      </c>
    </row>
    <row r="331" spans="1:28" x14ac:dyDescent="0.3">
      <c r="A331" s="1" t="s">
        <v>359</v>
      </c>
      <c r="B331" s="1" t="s">
        <v>29</v>
      </c>
      <c r="C331" s="3">
        <v>44166</v>
      </c>
      <c r="D331" s="3"/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A27" sqref="A27"/>
    </sheetView>
  </sheetViews>
  <sheetFormatPr baseColWidth="10" defaultRowHeight="14.4" x14ac:dyDescent="0.3"/>
  <cols>
    <col min="1" max="1" width="10.77734375" style="8" customWidth="1"/>
    <col min="2" max="2" width="8" customWidth="1"/>
    <col min="3" max="3" width="9.77734375" customWidth="1"/>
    <col min="4" max="4" width="7.5546875" customWidth="1"/>
    <col min="5" max="5" width="7.6640625" customWidth="1"/>
    <col min="6" max="6" width="7.5546875" customWidth="1"/>
    <col min="7" max="7" width="9.33203125" customWidth="1"/>
    <col min="8" max="8" width="7.6640625" customWidth="1"/>
    <col min="9" max="9" width="7.77734375" customWidth="1"/>
    <col min="10" max="10" width="7.6640625" customWidth="1"/>
    <col min="11" max="11" width="8.21875" customWidth="1"/>
    <col min="12" max="12" width="7.6640625" customWidth="1"/>
    <col min="13" max="13" width="7.5546875" customWidth="1"/>
    <col min="14" max="14" width="7.77734375" customWidth="1"/>
    <col min="15" max="15" width="7.88671875" customWidth="1"/>
    <col min="16" max="16" width="7.77734375" customWidth="1"/>
    <col min="17" max="17" width="8.21875" customWidth="1"/>
    <col min="18" max="18" width="7.88671875" customWidth="1"/>
    <col min="19" max="19" width="7.6640625" customWidth="1"/>
    <col min="20" max="20" width="8.33203125" customWidth="1"/>
    <col min="21" max="21" width="8" customWidth="1"/>
    <col min="22" max="22" width="7.6640625" customWidth="1"/>
    <col min="23" max="23" width="8" customWidth="1"/>
    <col min="24" max="24" width="7.77734375" customWidth="1"/>
    <col min="25" max="25" width="7.5546875" customWidth="1"/>
    <col min="26" max="26" width="7.6640625" customWidth="1"/>
  </cols>
  <sheetData>
    <row r="1" spans="1:26" ht="29.4" thickBot="1" x14ac:dyDescent="0.35">
      <c r="A1" s="12" t="s">
        <v>369</v>
      </c>
      <c r="B1" s="13" t="s">
        <v>370</v>
      </c>
      <c r="C1" s="32">
        <f>+DATE(2019,1,1)</f>
        <v>43466</v>
      </c>
      <c r="D1" s="32">
        <f>+EDATE(C1,1)</f>
        <v>43497</v>
      </c>
      <c r="E1" s="32">
        <f t="shared" ref="E1:Z1" si="0">+EDATE(D1,1)</f>
        <v>43525</v>
      </c>
      <c r="F1" s="32">
        <f t="shared" si="0"/>
        <v>43556</v>
      </c>
      <c r="G1" s="32">
        <f t="shared" si="0"/>
        <v>43586</v>
      </c>
      <c r="H1" s="32">
        <f t="shared" si="0"/>
        <v>43617</v>
      </c>
      <c r="I1" s="32">
        <f t="shared" si="0"/>
        <v>43647</v>
      </c>
      <c r="J1" s="32">
        <f t="shared" si="0"/>
        <v>43678</v>
      </c>
      <c r="K1" s="32">
        <f t="shared" si="0"/>
        <v>43709</v>
      </c>
      <c r="L1" s="32">
        <f t="shared" si="0"/>
        <v>43739</v>
      </c>
      <c r="M1" s="32">
        <f t="shared" si="0"/>
        <v>43770</v>
      </c>
      <c r="N1" s="32">
        <f t="shared" si="0"/>
        <v>43800</v>
      </c>
      <c r="O1" s="32">
        <f t="shared" si="0"/>
        <v>43831</v>
      </c>
      <c r="P1" s="32">
        <f t="shared" si="0"/>
        <v>43862</v>
      </c>
      <c r="Q1" s="32">
        <f t="shared" si="0"/>
        <v>43891</v>
      </c>
      <c r="R1" s="32">
        <f t="shared" si="0"/>
        <v>43922</v>
      </c>
      <c r="S1" s="32">
        <f t="shared" si="0"/>
        <v>43952</v>
      </c>
      <c r="T1" s="32">
        <f t="shared" si="0"/>
        <v>43983</v>
      </c>
      <c r="U1" s="32">
        <f t="shared" si="0"/>
        <v>44013</v>
      </c>
      <c r="V1" s="32">
        <f t="shared" si="0"/>
        <v>44044</v>
      </c>
      <c r="W1" s="32">
        <f t="shared" si="0"/>
        <v>44075</v>
      </c>
      <c r="X1" s="32">
        <f t="shared" si="0"/>
        <v>44105</v>
      </c>
      <c r="Y1" s="32">
        <f t="shared" si="0"/>
        <v>44136</v>
      </c>
      <c r="Z1" s="32">
        <f t="shared" si="0"/>
        <v>44166</v>
      </c>
    </row>
    <row r="2" spans="1:26" x14ac:dyDescent="0.3">
      <c r="A2" s="28">
        <v>43466</v>
      </c>
      <c r="B2" s="14">
        <v>11</v>
      </c>
      <c r="C2" s="15">
        <v>11</v>
      </c>
      <c r="D2" s="15">
        <v>11</v>
      </c>
      <c r="E2" s="15">
        <v>10</v>
      </c>
      <c r="F2" s="15">
        <v>10</v>
      </c>
      <c r="G2" s="15">
        <v>10</v>
      </c>
      <c r="H2" s="15">
        <v>10</v>
      </c>
      <c r="I2" s="15">
        <v>10</v>
      </c>
      <c r="J2" s="15">
        <v>9</v>
      </c>
      <c r="K2" s="15">
        <v>8</v>
      </c>
      <c r="L2" s="15">
        <v>8</v>
      </c>
      <c r="M2" s="15">
        <v>8</v>
      </c>
      <c r="N2" s="15">
        <v>8</v>
      </c>
      <c r="O2" s="15">
        <v>8</v>
      </c>
      <c r="P2" s="15">
        <v>8</v>
      </c>
      <c r="Q2" s="15">
        <v>8</v>
      </c>
      <c r="R2" s="15">
        <v>8</v>
      </c>
      <c r="S2" s="15">
        <v>8</v>
      </c>
      <c r="T2" s="15">
        <v>8</v>
      </c>
      <c r="U2" s="15">
        <v>8</v>
      </c>
      <c r="V2" s="15">
        <v>8</v>
      </c>
      <c r="W2" s="15">
        <v>7</v>
      </c>
      <c r="X2" s="15">
        <v>7</v>
      </c>
      <c r="Y2" s="15">
        <v>7</v>
      </c>
      <c r="Z2" s="16">
        <v>7</v>
      </c>
    </row>
    <row r="3" spans="1:26" x14ac:dyDescent="0.3">
      <c r="A3" s="29">
        <v>43497</v>
      </c>
      <c r="B3" s="17">
        <v>13</v>
      </c>
      <c r="C3" s="18">
        <v>0</v>
      </c>
      <c r="D3" s="19">
        <v>13</v>
      </c>
      <c r="E3" s="19">
        <v>13</v>
      </c>
      <c r="F3" s="19">
        <v>12</v>
      </c>
      <c r="G3" s="19">
        <v>11</v>
      </c>
      <c r="H3" s="19">
        <v>10</v>
      </c>
      <c r="I3" s="19">
        <v>10</v>
      </c>
      <c r="J3" s="19">
        <v>10</v>
      </c>
      <c r="K3" s="19">
        <v>10</v>
      </c>
      <c r="L3" s="19">
        <v>9</v>
      </c>
      <c r="M3" s="19">
        <v>8</v>
      </c>
      <c r="N3" s="19">
        <v>8</v>
      </c>
      <c r="O3" s="19">
        <v>8</v>
      </c>
      <c r="P3" s="19">
        <v>8</v>
      </c>
      <c r="Q3" s="19">
        <v>8</v>
      </c>
      <c r="R3" s="19">
        <v>8</v>
      </c>
      <c r="S3" s="19">
        <v>8</v>
      </c>
      <c r="T3" s="19">
        <v>8</v>
      </c>
      <c r="U3" s="19">
        <v>8</v>
      </c>
      <c r="V3" s="19">
        <v>8</v>
      </c>
      <c r="W3" s="19">
        <v>8</v>
      </c>
      <c r="X3" s="19">
        <v>8</v>
      </c>
      <c r="Y3" s="19">
        <v>8</v>
      </c>
      <c r="Z3" s="20">
        <v>8</v>
      </c>
    </row>
    <row r="4" spans="1:26" x14ac:dyDescent="0.3">
      <c r="A4" s="30">
        <v>43525</v>
      </c>
      <c r="B4" s="21">
        <v>13</v>
      </c>
      <c r="C4" s="22">
        <v>0</v>
      </c>
      <c r="D4" s="23">
        <v>0</v>
      </c>
      <c r="E4" s="23">
        <v>13</v>
      </c>
      <c r="F4" s="23">
        <v>13</v>
      </c>
      <c r="G4" s="23">
        <v>13</v>
      </c>
      <c r="H4" s="23">
        <v>13</v>
      </c>
      <c r="I4" s="23">
        <v>13</v>
      </c>
      <c r="J4" s="23">
        <v>13</v>
      </c>
      <c r="K4" s="23">
        <v>12</v>
      </c>
      <c r="L4" s="23">
        <v>11</v>
      </c>
      <c r="M4" s="23">
        <v>11</v>
      </c>
      <c r="N4" s="23">
        <v>11</v>
      </c>
      <c r="O4" s="23">
        <v>11</v>
      </c>
      <c r="P4" s="23">
        <v>11</v>
      </c>
      <c r="Q4" s="23">
        <v>10</v>
      </c>
      <c r="R4" s="23">
        <v>10</v>
      </c>
      <c r="S4" s="23">
        <v>7</v>
      </c>
      <c r="T4" s="23">
        <v>6</v>
      </c>
      <c r="U4" s="23">
        <v>6</v>
      </c>
      <c r="V4" s="23">
        <v>6</v>
      </c>
      <c r="W4" s="23">
        <v>5</v>
      </c>
      <c r="X4" s="23">
        <v>4</v>
      </c>
      <c r="Y4" s="23">
        <v>4</v>
      </c>
      <c r="Z4" s="24">
        <v>4</v>
      </c>
    </row>
    <row r="5" spans="1:26" x14ac:dyDescent="0.3">
      <c r="A5" s="29">
        <v>43556</v>
      </c>
      <c r="B5" s="17">
        <v>15</v>
      </c>
      <c r="C5" s="18">
        <v>0</v>
      </c>
      <c r="D5" s="19">
        <v>0</v>
      </c>
      <c r="E5" s="19">
        <v>0</v>
      </c>
      <c r="F5" s="19">
        <v>15</v>
      </c>
      <c r="G5" s="19">
        <v>15</v>
      </c>
      <c r="H5" s="19">
        <v>14</v>
      </c>
      <c r="I5" s="19">
        <v>14</v>
      </c>
      <c r="J5" s="19">
        <v>13</v>
      </c>
      <c r="K5" s="19">
        <v>12</v>
      </c>
      <c r="L5" s="19">
        <v>12</v>
      </c>
      <c r="M5" s="19">
        <v>11</v>
      </c>
      <c r="N5" s="19">
        <v>11</v>
      </c>
      <c r="O5" s="19">
        <v>9</v>
      </c>
      <c r="P5" s="19">
        <v>9</v>
      </c>
      <c r="Q5" s="19">
        <v>9</v>
      </c>
      <c r="R5" s="19">
        <v>7</v>
      </c>
      <c r="S5" s="19">
        <v>7</v>
      </c>
      <c r="T5" s="19">
        <v>7</v>
      </c>
      <c r="U5" s="19">
        <v>7</v>
      </c>
      <c r="V5" s="19">
        <v>7</v>
      </c>
      <c r="W5" s="19">
        <v>7</v>
      </c>
      <c r="X5" s="19">
        <v>7</v>
      </c>
      <c r="Y5" s="19">
        <v>7</v>
      </c>
      <c r="Z5" s="20">
        <v>7</v>
      </c>
    </row>
    <row r="6" spans="1:26" x14ac:dyDescent="0.3">
      <c r="A6" s="30">
        <v>43586</v>
      </c>
      <c r="B6" s="21">
        <v>13</v>
      </c>
      <c r="C6" s="22">
        <v>0</v>
      </c>
      <c r="D6" s="23">
        <v>0</v>
      </c>
      <c r="E6" s="23">
        <v>0</v>
      </c>
      <c r="F6" s="23">
        <v>0</v>
      </c>
      <c r="G6" s="23">
        <v>13</v>
      </c>
      <c r="H6" s="23">
        <v>13</v>
      </c>
      <c r="I6" s="23">
        <v>13</v>
      </c>
      <c r="J6" s="23">
        <v>12</v>
      </c>
      <c r="K6" s="23">
        <v>11</v>
      </c>
      <c r="L6" s="23">
        <v>10</v>
      </c>
      <c r="M6" s="23">
        <v>10</v>
      </c>
      <c r="N6" s="23">
        <v>10</v>
      </c>
      <c r="O6" s="23">
        <v>10</v>
      </c>
      <c r="P6" s="23">
        <v>9</v>
      </c>
      <c r="Q6" s="23">
        <v>9</v>
      </c>
      <c r="R6" s="23">
        <v>9</v>
      </c>
      <c r="S6" s="23">
        <v>8</v>
      </c>
      <c r="T6" s="23">
        <v>8</v>
      </c>
      <c r="U6" s="23">
        <v>6</v>
      </c>
      <c r="V6" s="23">
        <v>6</v>
      </c>
      <c r="W6" s="23">
        <v>6</v>
      </c>
      <c r="X6" s="23">
        <v>6</v>
      </c>
      <c r="Y6" s="23">
        <v>6</v>
      </c>
      <c r="Z6" s="24">
        <v>6</v>
      </c>
    </row>
    <row r="7" spans="1:26" x14ac:dyDescent="0.3">
      <c r="A7" s="29">
        <v>43617</v>
      </c>
      <c r="B7" s="17">
        <v>11</v>
      </c>
      <c r="C7" s="18">
        <v>0</v>
      </c>
      <c r="D7" s="19">
        <v>0</v>
      </c>
      <c r="E7" s="19">
        <v>0</v>
      </c>
      <c r="F7" s="19">
        <v>0</v>
      </c>
      <c r="G7" s="19">
        <v>0</v>
      </c>
      <c r="H7" s="19">
        <v>11</v>
      </c>
      <c r="I7" s="19">
        <v>11</v>
      </c>
      <c r="J7" s="19">
        <v>11</v>
      </c>
      <c r="K7" s="19">
        <v>10</v>
      </c>
      <c r="L7" s="19">
        <v>10</v>
      </c>
      <c r="M7" s="19">
        <v>10</v>
      </c>
      <c r="N7" s="19">
        <v>9</v>
      </c>
      <c r="O7" s="19">
        <v>9</v>
      </c>
      <c r="P7" s="19">
        <v>8</v>
      </c>
      <c r="Q7" s="19">
        <v>8</v>
      </c>
      <c r="R7" s="19">
        <v>8</v>
      </c>
      <c r="S7" s="19">
        <v>8</v>
      </c>
      <c r="T7" s="19">
        <v>8</v>
      </c>
      <c r="U7" s="19">
        <v>8</v>
      </c>
      <c r="V7" s="19">
        <v>8</v>
      </c>
      <c r="W7" s="19">
        <v>7</v>
      </c>
      <c r="X7" s="19">
        <v>7</v>
      </c>
      <c r="Y7" s="19">
        <v>7</v>
      </c>
      <c r="Z7" s="20">
        <v>6</v>
      </c>
    </row>
    <row r="8" spans="1:26" x14ac:dyDescent="0.3">
      <c r="A8" s="30">
        <v>43647</v>
      </c>
      <c r="B8" s="21">
        <v>11</v>
      </c>
      <c r="C8" s="22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11</v>
      </c>
      <c r="J8" s="23">
        <v>11</v>
      </c>
      <c r="K8" s="23">
        <v>11</v>
      </c>
      <c r="L8" s="23">
        <v>11</v>
      </c>
      <c r="M8" s="23">
        <v>11</v>
      </c>
      <c r="N8" s="23">
        <v>11</v>
      </c>
      <c r="O8" s="23">
        <v>10</v>
      </c>
      <c r="P8" s="23">
        <v>8</v>
      </c>
      <c r="Q8" s="23">
        <v>8</v>
      </c>
      <c r="R8" s="23">
        <v>8</v>
      </c>
      <c r="S8" s="23">
        <v>7</v>
      </c>
      <c r="T8" s="23">
        <v>7</v>
      </c>
      <c r="U8" s="23">
        <v>7</v>
      </c>
      <c r="V8" s="23">
        <v>6</v>
      </c>
      <c r="W8" s="23">
        <v>6</v>
      </c>
      <c r="X8" s="23">
        <v>6</v>
      </c>
      <c r="Y8" s="23">
        <v>5</v>
      </c>
      <c r="Z8" s="24">
        <v>5</v>
      </c>
    </row>
    <row r="9" spans="1:26" x14ac:dyDescent="0.3">
      <c r="A9" s="29">
        <v>43678</v>
      </c>
      <c r="B9" s="17">
        <v>4</v>
      </c>
      <c r="C9" s="18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4</v>
      </c>
      <c r="K9" s="19">
        <v>3</v>
      </c>
      <c r="L9" s="19">
        <v>3</v>
      </c>
      <c r="M9" s="19">
        <v>3</v>
      </c>
      <c r="N9" s="19">
        <v>3</v>
      </c>
      <c r="O9" s="19">
        <v>3</v>
      </c>
      <c r="P9" s="19">
        <v>3</v>
      </c>
      <c r="Q9" s="19">
        <v>3</v>
      </c>
      <c r="R9" s="19">
        <v>3</v>
      </c>
      <c r="S9" s="19">
        <v>3</v>
      </c>
      <c r="T9" s="19">
        <v>3</v>
      </c>
      <c r="U9" s="19">
        <v>3</v>
      </c>
      <c r="V9" s="19">
        <v>3</v>
      </c>
      <c r="W9" s="19">
        <v>3</v>
      </c>
      <c r="X9" s="19">
        <v>3</v>
      </c>
      <c r="Y9" s="19">
        <v>3</v>
      </c>
      <c r="Z9" s="20">
        <v>3</v>
      </c>
    </row>
    <row r="10" spans="1:26" x14ac:dyDescent="0.3">
      <c r="A10" s="30">
        <v>43709</v>
      </c>
      <c r="B10" s="21">
        <v>8</v>
      </c>
      <c r="C10" s="22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8</v>
      </c>
      <c r="L10" s="23">
        <v>8</v>
      </c>
      <c r="M10" s="23">
        <v>7</v>
      </c>
      <c r="N10" s="23">
        <v>7</v>
      </c>
      <c r="O10" s="23">
        <v>6</v>
      </c>
      <c r="P10" s="23">
        <v>6</v>
      </c>
      <c r="Q10" s="23">
        <v>6</v>
      </c>
      <c r="R10" s="23">
        <v>6</v>
      </c>
      <c r="S10" s="23">
        <v>6</v>
      </c>
      <c r="T10" s="23">
        <v>6</v>
      </c>
      <c r="U10" s="23">
        <v>6</v>
      </c>
      <c r="V10" s="23">
        <v>6</v>
      </c>
      <c r="W10" s="23">
        <v>4</v>
      </c>
      <c r="X10" s="23">
        <v>4</v>
      </c>
      <c r="Y10" s="23">
        <v>4</v>
      </c>
      <c r="Z10" s="24">
        <v>4</v>
      </c>
    </row>
    <row r="11" spans="1:26" x14ac:dyDescent="0.3">
      <c r="A11" s="29">
        <v>43739</v>
      </c>
      <c r="B11" s="17">
        <v>15</v>
      </c>
      <c r="C11" s="18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15</v>
      </c>
      <c r="M11" s="19">
        <v>15</v>
      </c>
      <c r="N11" s="19">
        <v>15</v>
      </c>
      <c r="O11" s="19">
        <v>15</v>
      </c>
      <c r="P11" s="19">
        <v>15</v>
      </c>
      <c r="Q11" s="19">
        <v>14</v>
      </c>
      <c r="R11" s="19">
        <v>14</v>
      </c>
      <c r="S11" s="19">
        <v>14</v>
      </c>
      <c r="T11" s="19">
        <v>14</v>
      </c>
      <c r="U11" s="19">
        <v>13</v>
      </c>
      <c r="V11" s="19">
        <v>13</v>
      </c>
      <c r="W11" s="19">
        <v>13</v>
      </c>
      <c r="X11" s="19">
        <v>12</v>
      </c>
      <c r="Y11" s="19">
        <v>11</v>
      </c>
      <c r="Z11" s="20">
        <v>11</v>
      </c>
    </row>
    <row r="12" spans="1:26" x14ac:dyDescent="0.3">
      <c r="A12" s="30">
        <v>43770</v>
      </c>
      <c r="B12" s="21">
        <v>13</v>
      </c>
      <c r="C12" s="22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13</v>
      </c>
      <c r="N12" s="23">
        <v>13</v>
      </c>
      <c r="O12" s="23">
        <v>13</v>
      </c>
      <c r="P12" s="23">
        <v>13</v>
      </c>
      <c r="Q12" s="23">
        <v>13</v>
      </c>
      <c r="R12" s="23">
        <v>12</v>
      </c>
      <c r="S12" s="23">
        <v>10</v>
      </c>
      <c r="T12" s="23">
        <v>10</v>
      </c>
      <c r="U12" s="23">
        <v>10</v>
      </c>
      <c r="V12" s="23">
        <v>10</v>
      </c>
      <c r="W12" s="23">
        <v>10</v>
      </c>
      <c r="X12" s="23">
        <v>10</v>
      </c>
      <c r="Y12" s="23">
        <v>10</v>
      </c>
      <c r="Z12" s="24">
        <v>9</v>
      </c>
    </row>
    <row r="13" spans="1:26" x14ac:dyDescent="0.3">
      <c r="A13" s="29">
        <v>43800</v>
      </c>
      <c r="B13" s="17">
        <v>6</v>
      </c>
      <c r="C13" s="18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6</v>
      </c>
      <c r="O13" s="19">
        <v>6</v>
      </c>
      <c r="P13" s="19">
        <v>6</v>
      </c>
      <c r="Q13" s="19">
        <v>6</v>
      </c>
      <c r="R13" s="19">
        <v>6</v>
      </c>
      <c r="S13" s="19">
        <v>6</v>
      </c>
      <c r="T13" s="19">
        <v>6</v>
      </c>
      <c r="U13" s="19">
        <v>6</v>
      </c>
      <c r="V13" s="19">
        <v>6</v>
      </c>
      <c r="W13" s="19">
        <v>6</v>
      </c>
      <c r="X13" s="19">
        <v>6</v>
      </c>
      <c r="Y13" s="19">
        <v>6</v>
      </c>
      <c r="Z13" s="20">
        <v>6</v>
      </c>
    </row>
    <row r="14" spans="1:26" x14ac:dyDescent="0.3">
      <c r="A14" s="30">
        <v>43831</v>
      </c>
      <c r="B14" s="21">
        <v>21</v>
      </c>
      <c r="C14" s="22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21</v>
      </c>
      <c r="P14" s="23">
        <v>21</v>
      </c>
      <c r="Q14" s="23">
        <v>21</v>
      </c>
      <c r="R14" s="23">
        <v>21</v>
      </c>
      <c r="S14" s="23">
        <v>21</v>
      </c>
      <c r="T14" s="23">
        <v>19</v>
      </c>
      <c r="U14" s="23">
        <v>19</v>
      </c>
      <c r="V14" s="23">
        <v>19</v>
      </c>
      <c r="W14" s="23">
        <v>18</v>
      </c>
      <c r="X14" s="23">
        <v>17</v>
      </c>
      <c r="Y14" s="23">
        <v>16</v>
      </c>
      <c r="Z14" s="24">
        <v>14</v>
      </c>
    </row>
    <row r="15" spans="1:26" x14ac:dyDescent="0.3">
      <c r="A15" s="29">
        <v>43862</v>
      </c>
      <c r="B15" s="17">
        <v>11</v>
      </c>
      <c r="C15" s="18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11</v>
      </c>
      <c r="Q15" s="19">
        <v>10</v>
      </c>
      <c r="R15" s="19">
        <v>10</v>
      </c>
      <c r="S15" s="19">
        <v>10</v>
      </c>
      <c r="T15" s="19">
        <v>10</v>
      </c>
      <c r="U15" s="19">
        <v>10</v>
      </c>
      <c r="V15" s="19">
        <v>10</v>
      </c>
      <c r="W15" s="19">
        <v>10</v>
      </c>
      <c r="X15" s="19">
        <v>10</v>
      </c>
      <c r="Y15" s="19">
        <v>10</v>
      </c>
      <c r="Z15" s="20">
        <v>9</v>
      </c>
    </row>
    <row r="16" spans="1:26" x14ac:dyDescent="0.3">
      <c r="A16" s="30">
        <v>43891</v>
      </c>
      <c r="B16" s="21">
        <v>11</v>
      </c>
      <c r="C16" s="22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11</v>
      </c>
      <c r="R16" s="23">
        <v>11</v>
      </c>
      <c r="S16" s="23">
        <v>11</v>
      </c>
      <c r="T16" s="23">
        <v>8</v>
      </c>
      <c r="U16" s="23">
        <v>8</v>
      </c>
      <c r="V16" s="23">
        <v>6</v>
      </c>
      <c r="W16" s="23">
        <v>5</v>
      </c>
      <c r="X16" s="23">
        <v>5</v>
      </c>
      <c r="Y16" s="23">
        <v>5</v>
      </c>
      <c r="Z16" s="24">
        <v>5</v>
      </c>
    </row>
    <row r="17" spans="1:26" x14ac:dyDescent="0.3">
      <c r="A17" s="29">
        <v>43922</v>
      </c>
      <c r="B17" s="17">
        <v>16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16</v>
      </c>
      <c r="S17" s="19">
        <v>16</v>
      </c>
      <c r="T17" s="19">
        <v>15</v>
      </c>
      <c r="U17" s="19">
        <v>15</v>
      </c>
      <c r="V17" s="19">
        <v>15</v>
      </c>
      <c r="W17" s="19">
        <v>14</v>
      </c>
      <c r="X17" s="19">
        <v>14</v>
      </c>
      <c r="Y17" s="19">
        <v>14</v>
      </c>
      <c r="Z17" s="20">
        <v>14</v>
      </c>
    </row>
    <row r="18" spans="1:26" x14ac:dyDescent="0.3">
      <c r="A18" s="30">
        <v>43952</v>
      </c>
      <c r="B18" s="21">
        <v>25</v>
      </c>
      <c r="C18" s="22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25</v>
      </c>
      <c r="T18" s="23">
        <v>24</v>
      </c>
      <c r="U18" s="23">
        <v>24</v>
      </c>
      <c r="V18" s="23">
        <v>23</v>
      </c>
      <c r="W18" s="23">
        <v>19</v>
      </c>
      <c r="X18" s="23">
        <v>17</v>
      </c>
      <c r="Y18" s="23">
        <v>16</v>
      </c>
      <c r="Z18" s="24">
        <v>16</v>
      </c>
    </row>
    <row r="19" spans="1:26" x14ac:dyDescent="0.3">
      <c r="A19" s="29">
        <v>43983</v>
      </c>
      <c r="B19" s="17">
        <v>22</v>
      </c>
      <c r="C19" s="18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22</v>
      </c>
      <c r="U19" s="19">
        <v>22</v>
      </c>
      <c r="V19" s="19">
        <v>22</v>
      </c>
      <c r="W19" s="19">
        <v>20</v>
      </c>
      <c r="X19" s="19">
        <v>20</v>
      </c>
      <c r="Y19" s="19">
        <v>19</v>
      </c>
      <c r="Z19" s="20">
        <v>16</v>
      </c>
    </row>
    <row r="20" spans="1:26" x14ac:dyDescent="0.3">
      <c r="A20" s="30">
        <v>44013</v>
      </c>
      <c r="B20" s="21">
        <v>21</v>
      </c>
      <c r="C20" s="22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21</v>
      </c>
      <c r="V20" s="23">
        <v>21</v>
      </c>
      <c r="W20" s="23">
        <v>20</v>
      </c>
      <c r="X20" s="23">
        <v>20</v>
      </c>
      <c r="Y20" s="23">
        <v>18</v>
      </c>
      <c r="Z20" s="24">
        <v>18</v>
      </c>
    </row>
    <row r="21" spans="1:26" x14ac:dyDescent="0.3">
      <c r="A21" s="29">
        <v>44044</v>
      </c>
      <c r="B21" s="17">
        <v>27</v>
      </c>
      <c r="C21" s="18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27</v>
      </c>
      <c r="W21" s="19">
        <v>27</v>
      </c>
      <c r="X21" s="19">
        <v>27</v>
      </c>
      <c r="Y21" s="19">
        <v>25</v>
      </c>
      <c r="Z21" s="20">
        <v>22</v>
      </c>
    </row>
    <row r="22" spans="1:26" x14ac:dyDescent="0.3">
      <c r="A22" s="30">
        <v>44075</v>
      </c>
      <c r="B22" s="21">
        <v>5</v>
      </c>
      <c r="C22" s="22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5</v>
      </c>
      <c r="X22" s="23">
        <v>5</v>
      </c>
      <c r="Y22" s="23">
        <v>5</v>
      </c>
      <c r="Z22" s="24">
        <v>5</v>
      </c>
    </row>
    <row r="23" spans="1:26" x14ac:dyDescent="0.3">
      <c r="A23" s="29">
        <v>44105</v>
      </c>
      <c r="B23" s="17">
        <v>12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12</v>
      </c>
      <c r="Y23" s="19">
        <v>12</v>
      </c>
      <c r="Z23" s="20">
        <v>12</v>
      </c>
    </row>
    <row r="24" spans="1:26" x14ac:dyDescent="0.3">
      <c r="A24" s="30">
        <v>44136</v>
      </c>
      <c r="B24" s="21">
        <v>10</v>
      </c>
      <c r="C24" s="22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10</v>
      </c>
      <c r="Z24" s="24">
        <v>10</v>
      </c>
    </row>
    <row r="25" spans="1:26" x14ac:dyDescent="0.3">
      <c r="A25" s="29">
        <v>44166</v>
      </c>
      <c r="B25" s="17">
        <v>16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20">
        <v>16</v>
      </c>
    </row>
    <row r="26" spans="1:26" x14ac:dyDescent="0.3">
      <c r="A26" s="31" t="s">
        <v>441</v>
      </c>
      <c r="B26" s="25">
        <v>330</v>
      </c>
      <c r="C26" s="26">
        <v>11</v>
      </c>
      <c r="D26" s="27">
        <v>24</v>
      </c>
      <c r="E26" s="27">
        <v>36</v>
      </c>
      <c r="F26" s="27">
        <v>50</v>
      </c>
      <c r="G26" s="27">
        <v>62</v>
      </c>
      <c r="H26" s="27">
        <v>71</v>
      </c>
      <c r="I26" s="27">
        <v>82</v>
      </c>
      <c r="J26" s="27">
        <v>83</v>
      </c>
      <c r="K26" s="27">
        <v>85</v>
      </c>
      <c r="L26" s="27">
        <v>97</v>
      </c>
      <c r="M26" s="27">
        <v>107</v>
      </c>
      <c r="N26" s="27">
        <v>112</v>
      </c>
      <c r="O26" s="27">
        <v>129</v>
      </c>
      <c r="P26" s="27">
        <v>136</v>
      </c>
      <c r="Q26" s="27">
        <v>144</v>
      </c>
      <c r="R26" s="27">
        <v>157</v>
      </c>
      <c r="S26" s="27">
        <v>175</v>
      </c>
      <c r="T26" s="27">
        <v>189</v>
      </c>
      <c r="U26" s="27">
        <v>207</v>
      </c>
      <c r="V26" s="27">
        <v>230</v>
      </c>
      <c r="W26" s="27">
        <v>220</v>
      </c>
      <c r="X26" s="27">
        <v>227</v>
      </c>
      <c r="Y26" s="27">
        <v>228</v>
      </c>
      <c r="Z26" s="11">
        <v>233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"/>
  <sheetViews>
    <sheetView tabSelected="1" topLeftCell="A64" zoomScaleNormal="100" workbookViewId="0">
      <selection activeCell="Y85" sqref="Y85"/>
    </sheetView>
  </sheetViews>
  <sheetFormatPr baseColWidth="10" defaultRowHeight="14.4" x14ac:dyDescent="0.3"/>
  <cols>
    <col min="1" max="1" width="8.6640625" customWidth="1"/>
    <col min="2" max="2" width="7.33203125" style="8" customWidth="1"/>
    <col min="3" max="3" width="8.21875" customWidth="1"/>
    <col min="4" max="6" width="8.33203125" customWidth="1"/>
    <col min="7" max="7" width="7.77734375" customWidth="1"/>
    <col min="8" max="8" width="8.33203125" customWidth="1"/>
    <col min="9" max="9" width="7.88671875" customWidth="1"/>
    <col min="10" max="10" width="7.77734375" customWidth="1"/>
    <col min="11" max="12" width="7.88671875" customWidth="1"/>
    <col min="13" max="13" width="8.109375" customWidth="1"/>
    <col min="14" max="14" width="7.88671875" customWidth="1"/>
    <col min="15" max="15" width="8" customWidth="1"/>
    <col min="16" max="16" width="8.109375" customWidth="1"/>
    <col min="17" max="17" width="7.88671875" customWidth="1"/>
    <col min="18" max="18" width="7.77734375" customWidth="1"/>
    <col min="19" max="19" width="7.5546875" customWidth="1"/>
    <col min="20" max="20" width="7.33203125" customWidth="1"/>
    <col min="21" max="21" width="7.109375" customWidth="1"/>
    <col min="22" max="22" width="7.44140625" customWidth="1"/>
    <col min="23" max="23" width="7.5546875" customWidth="1"/>
    <col min="24" max="24" width="8" customWidth="1"/>
    <col min="25" max="25" width="7.6640625" customWidth="1"/>
    <col min="26" max="26" width="7.88671875" customWidth="1"/>
  </cols>
  <sheetData>
    <row r="1" spans="1:26" ht="28.8" x14ac:dyDescent="0.3">
      <c r="A1" s="7" t="s">
        <v>369</v>
      </c>
      <c r="B1" s="56" t="s">
        <v>370</v>
      </c>
      <c r="C1" s="58" t="s">
        <v>394</v>
      </c>
      <c r="D1" s="58" t="s">
        <v>393</v>
      </c>
      <c r="E1" s="58" t="s">
        <v>392</v>
      </c>
      <c r="F1" s="58" t="s">
        <v>371</v>
      </c>
      <c r="G1" s="58" t="s">
        <v>372</v>
      </c>
      <c r="H1" s="58" t="s">
        <v>373</v>
      </c>
      <c r="I1" s="58" t="s">
        <v>374</v>
      </c>
      <c r="J1" s="58" t="s">
        <v>375</v>
      </c>
      <c r="K1" s="58" t="s">
        <v>376</v>
      </c>
      <c r="L1" s="58" t="s">
        <v>377</v>
      </c>
      <c r="M1" s="58" t="s">
        <v>378</v>
      </c>
      <c r="N1" s="58" t="s">
        <v>379</v>
      </c>
      <c r="O1" s="58" t="s">
        <v>380</v>
      </c>
      <c r="P1" s="58" t="s">
        <v>381</v>
      </c>
      <c r="Q1" s="58" t="s">
        <v>382</v>
      </c>
      <c r="R1" s="58" t="s">
        <v>383</v>
      </c>
      <c r="S1" s="58" t="s">
        <v>384</v>
      </c>
      <c r="T1" s="58" t="s">
        <v>385</v>
      </c>
      <c r="U1" s="58" t="s">
        <v>386</v>
      </c>
      <c r="V1" s="58" t="s">
        <v>387</v>
      </c>
      <c r="W1" s="58" t="s">
        <v>388</v>
      </c>
      <c r="X1" s="58" t="s">
        <v>389</v>
      </c>
      <c r="Y1" s="58" t="s">
        <v>390</v>
      </c>
      <c r="Z1" s="58" t="s">
        <v>391</v>
      </c>
    </row>
    <row r="2" spans="1:26" x14ac:dyDescent="0.3">
      <c r="A2" s="6">
        <v>43466</v>
      </c>
      <c r="B2" s="57">
        <v>11</v>
      </c>
      <c r="C2" s="1">
        <v>11</v>
      </c>
      <c r="D2" s="1">
        <v>11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  <c r="J2" s="1">
        <v>9</v>
      </c>
      <c r="K2" s="1">
        <v>8</v>
      </c>
      <c r="L2" s="1">
        <v>8</v>
      </c>
      <c r="M2" s="1">
        <v>8</v>
      </c>
      <c r="N2" s="1">
        <v>8</v>
      </c>
      <c r="O2" s="1">
        <v>8</v>
      </c>
      <c r="P2" s="1">
        <v>8</v>
      </c>
      <c r="Q2" s="1">
        <v>8</v>
      </c>
      <c r="R2" s="1">
        <v>8</v>
      </c>
      <c r="S2" s="1">
        <v>8</v>
      </c>
      <c r="T2" s="1">
        <v>8</v>
      </c>
      <c r="U2" s="1">
        <v>8</v>
      </c>
      <c r="V2" s="1">
        <v>8</v>
      </c>
      <c r="W2" s="1">
        <v>7</v>
      </c>
      <c r="X2" s="1">
        <v>7</v>
      </c>
      <c r="Y2" s="1">
        <v>7</v>
      </c>
      <c r="Z2" s="1">
        <v>7</v>
      </c>
    </row>
    <row r="3" spans="1:26" x14ac:dyDescent="0.3">
      <c r="A3" s="6">
        <v>43497</v>
      </c>
      <c r="B3" s="9">
        <v>13</v>
      </c>
      <c r="C3" s="1">
        <v>0</v>
      </c>
      <c r="D3" s="1">
        <v>13</v>
      </c>
      <c r="E3" s="1">
        <v>13</v>
      </c>
      <c r="F3" s="1">
        <v>12</v>
      </c>
      <c r="G3" s="1">
        <v>11</v>
      </c>
      <c r="H3" s="1">
        <v>10</v>
      </c>
      <c r="I3" s="1">
        <v>10</v>
      </c>
      <c r="J3" s="1">
        <v>10</v>
      </c>
      <c r="K3" s="1">
        <v>10</v>
      </c>
      <c r="L3" s="1">
        <v>9</v>
      </c>
      <c r="M3" s="1">
        <v>8</v>
      </c>
      <c r="N3" s="1">
        <v>8</v>
      </c>
      <c r="O3" s="1">
        <v>8</v>
      </c>
      <c r="P3" s="1">
        <v>8</v>
      </c>
      <c r="Q3" s="1">
        <v>8</v>
      </c>
      <c r="R3" s="1">
        <v>8</v>
      </c>
      <c r="S3" s="1">
        <v>8</v>
      </c>
      <c r="T3" s="1">
        <v>8</v>
      </c>
      <c r="U3" s="1">
        <v>8</v>
      </c>
      <c r="V3" s="1">
        <v>8</v>
      </c>
      <c r="W3" s="1">
        <v>8</v>
      </c>
      <c r="X3" s="1">
        <v>8</v>
      </c>
      <c r="Y3" s="1">
        <v>8</v>
      </c>
      <c r="Z3" s="1">
        <v>8</v>
      </c>
    </row>
    <row r="4" spans="1:26" x14ac:dyDescent="0.3">
      <c r="A4" s="6">
        <v>43525</v>
      </c>
      <c r="B4" s="9">
        <v>13</v>
      </c>
      <c r="C4" s="1">
        <v>0</v>
      </c>
      <c r="D4" s="1">
        <v>0</v>
      </c>
      <c r="E4" s="1">
        <v>13</v>
      </c>
      <c r="F4" s="1">
        <v>13</v>
      </c>
      <c r="G4" s="1">
        <v>13</v>
      </c>
      <c r="H4" s="1">
        <v>13</v>
      </c>
      <c r="I4" s="1">
        <v>13</v>
      </c>
      <c r="J4" s="1">
        <v>13</v>
      </c>
      <c r="K4" s="1">
        <v>12</v>
      </c>
      <c r="L4" s="1">
        <v>11</v>
      </c>
      <c r="M4" s="1">
        <v>11</v>
      </c>
      <c r="N4" s="1">
        <v>11</v>
      </c>
      <c r="O4" s="1">
        <v>11</v>
      </c>
      <c r="P4" s="1">
        <v>11</v>
      </c>
      <c r="Q4" s="1">
        <v>10</v>
      </c>
      <c r="R4" s="1">
        <v>10</v>
      </c>
      <c r="S4" s="1">
        <v>7</v>
      </c>
      <c r="T4" s="1">
        <v>6</v>
      </c>
      <c r="U4" s="1">
        <v>6</v>
      </c>
      <c r="V4" s="1">
        <v>6</v>
      </c>
      <c r="W4" s="1">
        <v>5</v>
      </c>
      <c r="X4" s="1">
        <v>4</v>
      </c>
      <c r="Y4" s="1">
        <v>4</v>
      </c>
      <c r="Z4" s="1">
        <v>4</v>
      </c>
    </row>
    <row r="5" spans="1:26" x14ac:dyDescent="0.3">
      <c r="A5" s="6">
        <v>43556</v>
      </c>
      <c r="B5" s="9">
        <v>15</v>
      </c>
      <c r="C5" s="1">
        <v>0</v>
      </c>
      <c r="D5" s="1">
        <v>0</v>
      </c>
      <c r="E5" s="1">
        <v>0</v>
      </c>
      <c r="F5" s="1">
        <v>15</v>
      </c>
      <c r="G5" s="1">
        <v>15</v>
      </c>
      <c r="H5" s="1">
        <v>14</v>
      </c>
      <c r="I5" s="1">
        <v>14</v>
      </c>
      <c r="J5" s="1">
        <v>13</v>
      </c>
      <c r="K5" s="1">
        <v>12</v>
      </c>
      <c r="L5" s="1">
        <v>12</v>
      </c>
      <c r="M5" s="1">
        <v>11</v>
      </c>
      <c r="N5" s="1">
        <v>11</v>
      </c>
      <c r="O5" s="1">
        <v>9</v>
      </c>
      <c r="P5" s="1">
        <v>9</v>
      </c>
      <c r="Q5" s="1">
        <v>9</v>
      </c>
      <c r="R5" s="1">
        <v>7</v>
      </c>
      <c r="S5" s="1">
        <v>7</v>
      </c>
      <c r="T5" s="1">
        <v>7</v>
      </c>
      <c r="U5" s="1">
        <v>7</v>
      </c>
      <c r="V5" s="1">
        <v>7</v>
      </c>
      <c r="W5" s="1">
        <v>7</v>
      </c>
      <c r="X5" s="1">
        <v>7</v>
      </c>
      <c r="Y5" s="1">
        <v>7</v>
      </c>
      <c r="Z5" s="1">
        <v>7</v>
      </c>
    </row>
    <row r="6" spans="1:26" x14ac:dyDescent="0.3">
      <c r="A6" s="6">
        <v>43586</v>
      </c>
      <c r="B6" s="9">
        <v>13</v>
      </c>
      <c r="C6" s="1">
        <v>0</v>
      </c>
      <c r="D6" s="1">
        <v>0</v>
      </c>
      <c r="E6" s="1">
        <v>0</v>
      </c>
      <c r="F6" s="1">
        <v>0</v>
      </c>
      <c r="G6" s="1">
        <v>13</v>
      </c>
      <c r="H6" s="1">
        <v>13</v>
      </c>
      <c r="I6" s="1">
        <v>13</v>
      </c>
      <c r="J6" s="1">
        <v>12</v>
      </c>
      <c r="K6" s="1">
        <v>11</v>
      </c>
      <c r="L6" s="1">
        <v>10</v>
      </c>
      <c r="M6" s="1">
        <v>10</v>
      </c>
      <c r="N6" s="1">
        <v>10</v>
      </c>
      <c r="O6" s="1">
        <v>10</v>
      </c>
      <c r="P6" s="1">
        <v>9</v>
      </c>
      <c r="Q6" s="1">
        <v>9</v>
      </c>
      <c r="R6" s="1">
        <v>9</v>
      </c>
      <c r="S6" s="1">
        <v>8</v>
      </c>
      <c r="T6" s="1">
        <v>8</v>
      </c>
      <c r="U6" s="1">
        <v>6</v>
      </c>
      <c r="V6" s="1">
        <v>6</v>
      </c>
      <c r="W6" s="1">
        <v>6</v>
      </c>
      <c r="X6" s="1">
        <v>6</v>
      </c>
      <c r="Y6" s="1">
        <v>6</v>
      </c>
      <c r="Z6" s="1">
        <v>6</v>
      </c>
    </row>
    <row r="7" spans="1:26" x14ac:dyDescent="0.3">
      <c r="A7" s="6">
        <v>43617</v>
      </c>
      <c r="B7" s="9">
        <v>11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11</v>
      </c>
      <c r="I7" s="1">
        <v>11</v>
      </c>
      <c r="J7" s="1">
        <v>11</v>
      </c>
      <c r="K7" s="1">
        <v>10</v>
      </c>
      <c r="L7" s="1">
        <v>10</v>
      </c>
      <c r="M7" s="1">
        <v>10</v>
      </c>
      <c r="N7" s="1">
        <v>9</v>
      </c>
      <c r="O7" s="1">
        <v>9</v>
      </c>
      <c r="P7" s="1">
        <v>8</v>
      </c>
      <c r="Q7" s="1">
        <v>8</v>
      </c>
      <c r="R7" s="1">
        <v>8</v>
      </c>
      <c r="S7" s="1">
        <v>8</v>
      </c>
      <c r="T7" s="1">
        <v>8</v>
      </c>
      <c r="U7" s="1">
        <v>8</v>
      </c>
      <c r="V7" s="1">
        <v>8</v>
      </c>
      <c r="W7" s="1">
        <v>7</v>
      </c>
      <c r="X7" s="1">
        <v>7</v>
      </c>
      <c r="Y7" s="1">
        <v>7</v>
      </c>
      <c r="Z7" s="1">
        <v>6</v>
      </c>
    </row>
    <row r="8" spans="1:26" x14ac:dyDescent="0.3">
      <c r="A8" s="6">
        <v>43647</v>
      </c>
      <c r="B8" s="9">
        <v>11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11</v>
      </c>
      <c r="J8" s="1">
        <v>11</v>
      </c>
      <c r="K8" s="1">
        <v>11</v>
      </c>
      <c r="L8" s="1">
        <v>11</v>
      </c>
      <c r="M8" s="1">
        <v>11</v>
      </c>
      <c r="N8" s="1">
        <v>11</v>
      </c>
      <c r="O8" s="1">
        <v>10</v>
      </c>
      <c r="P8" s="1">
        <v>8</v>
      </c>
      <c r="Q8" s="1">
        <v>8</v>
      </c>
      <c r="R8" s="1">
        <v>8</v>
      </c>
      <c r="S8" s="1">
        <v>7</v>
      </c>
      <c r="T8" s="1">
        <v>7</v>
      </c>
      <c r="U8" s="1">
        <v>7</v>
      </c>
      <c r="V8" s="1">
        <v>6</v>
      </c>
      <c r="W8" s="1">
        <v>6</v>
      </c>
      <c r="X8" s="1">
        <v>6</v>
      </c>
      <c r="Y8" s="1">
        <v>5</v>
      </c>
      <c r="Z8" s="1">
        <v>5</v>
      </c>
    </row>
    <row r="9" spans="1:26" x14ac:dyDescent="0.3">
      <c r="A9" s="6">
        <v>43678</v>
      </c>
      <c r="B9" s="9">
        <v>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4</v>
      </c>
      <c r="K9" s="1">
        <v>3</v>
      </c>
      <c r="L9" s="1">
        <v>3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3</v>
      </c>
      <c r="T9" s="1">
        <v>3</v>
      </c>
      <c r="U9" s="1">
        <v>3</v>
      </c>
      <c r="V9" s="1">
        <v>3</v>
      </c>
      <c r="W9" s="1">
        <v>3</v>
      </c>
      <c r="X9" s="1">
        <v>3</v>
      </c>
      <c r="Y9" s="1">
        <v>3</v>
      </c>
      <c r="Z9" s="1">
        <v>3</v>
      </c>
    </row>
    <row r="10" spans="1:26" x14ac:dyDescent="0.3">
      <c r="A10" s="6">
        <v>43709</v>
      </c>
      <c r="B10" s="9">
        <v>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8</v>
      </c>
      <c r="L10" s="1">
        <v>8</v>
      </c>
      <c r="M10" s="1">
        <v>7</v>
      </c>
      <c r="N10" s="1">
        <v>7</v>
      </c>
      <c r="O10" s="1">
        <v>6</v>
      </c>
      <c r="P10" s="1">
        <v>6</v>
      </c>
      <c r="Q10" s="1">
        <v>6</v>
      </c>
      <c r="R10" s="1">
        <v>6</v>
      </c>
      <c r="S10" s="1">
        <v>6</v>
      </c>
      <c r="T10" s="1">
        <v>6</v>
      </c>
      <c r="U10" s="1">
        <v>6</v>
      </c>
      <c r="V10" s="1">
        <v>6</v>
      </c>
      <c r="W10" s="1">
        <v>4</v>
      </c>
      <c r="X10" s="1">
        <v>4</v>
      </c>
      <c r="Y10" s="1">
        <v>4</v>
      </c>
      <c r="Z10" s="1">
        <v>4</v>
      </c>
    </row>
    <row r="11" spans="1:26" x14ac:dyDescent="0.3">
      <c r="A11" s="6">
        <v>43739</v>
      </c>
      <c r="B11" s="9">
        <v>15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15</v>
      </c>
      <c r="M11" s="1">
        <v>15</v>
      </c>
      <c r="N11" s="1">
        <v>15</v>
      </c>
      <c r="O11" s="1">
        <v>15</v>
      </c>
      <c r="P11" s="1">
        <v>15</v>
      </c>
      <c r="Q11" s="1">
        <v>14</v>
      </c>
      <c r="R11" s="1">
        <v>14</v>
      </c>
      <c r="S11" s="1">
        <v>14</v>
      </c>
      <c r="T11" s="1">
        <v>14</v>
      </c>
      <c r="U11" s="1">
        <v>13</v>
      </c>
      <c r="V11" s="1">
        <v>13</v>
      </c>
      <c r="W11" s="1">
        <v>13</v>
      </c>
      <c r="X11" s="1">
        <v>12</v>
      </c>
      <c r="Y11" s="1">
        <v>11</v>
      </c>
      <c r="Z11" s="1">
        <v>11</v>
      </c>
    </row>
    <row r="12" spans="1:26" x14ac:dyDescent="0.3">
      <c r="A12" s="6">
        <v>43770</v>
      </c>
      <c r="B12" s="9">
        <v>13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13</v>
      </c>
      <c r="N12" s="1">
        <v>13</v>
      </c>
      <c r="O12" s="1">
        <v>13</v>
      </c>
      <c r="P12" s="1">
        <v>13</v>
      </c>
      <c r="Q12" s="1">
        <v>13</v>
      </c>
      <c r="R12" s="1">
        <v>12</v>
      </c>
      <c r="S12" s="1">
        <v>10</v>
      </c>
      <c r="T12" s="1">
        <v>10</v>
      </c>
      <c r="U12" s="1">
        <v>10</v>
      </c>
      <c r="V12" s="1">
        <v>10</v>
      </c>
      <c r="W12" s="1">
        <v>10</v>
      </c>
      <c r="X12" s="1">
        <v>10</v>
      </c>
      <c r="Y12" s="1">
        <v>10</v>
      </c>
      <c r="Z12" s="1">
        <v>9</v>
      </c>
    </row>
    <row r="13" spans="1:26" x14ac:dyDescent="0.3">
      <c r="A13" s="6">
        <v>43800</v>
      </c>
      <c r="B13" s="9">
        <v>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6</v>
      </c>
      <c r="O13" s="1">
        <v>6</v>
      </c>
      <c r="P13" s="1">
        <v>6</v>
      </c>
      <c r="Q13" s="1">
        <v>6</v>
      </c>
      <c r="R13" s="1">
        <v>6</v>
      </c>
      <c r="S13" s="1">
        <v>6</v>
      </c>
      <c r="T13" s="1">
        <v>6</v>
      </c>
      <c r="U13" s="1">
        <v>6</v>
      </c>
      <c r="V13" s="1">
        <v>6</v>
      </c>
      <c r="W13" s="1">
        <v>6</v>
      </c>
      <c r="X13" s="1">
        <v>6</v>
      </c>
      <c r="Y13" s="1">
        <v>6</v>
      </c>
      <c r="Z13" s="1">
        <v>6</v>
      </c>
    </row>
    <row r="14" spans="1:26" x14ac:dyDescent="0.3">
      <c r="A14" s="6">
        <v>43831</v>
      </c>
      <c r="B14" s="9">
        <v>21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21</v>
      </c>
      <c r="P14" s="1">
        <v>21</v>
      </c>
      <c r="Q14" s="1">
        <v>21</v>
      </c>
      <c r="R14" s="1">
        <v>21</v>
      </c>
      <c r="S14" s="1">
        <v>21</v>
      </c>
      <c r="T14" s="1">
        <v>19</v>
      </c>
      <c r="U14" s="1">
        <v>19</v>
      </c>
      <c r="V14" s="1">
        <v>19</v>
      </c>
      <c r="W14" s="1">
        <v>18</v>
      </c>
      <c r="X14" s="1">
        <v>17</v>
      </c>
      <c r="Y14" s="1">
        <v>16</v>
      </c>
      <c r="Z14" s="1">
        <v>14</v>
      </c>
    </row>
    <row r="15" spans="1:26" x14ac:dyDescent="0.3">
      <c r="A15" s="6">
        <v>43862</v>
      </c>
      <c r="B15" s="9">
        <v>11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11</v>
      </c>
      <c r="Q15" s="1">
        <v>10</v>
      </c>
      <c r="R15" s="1">
        <v>10</v>
      </c>
      <c r="S15" s="1">
        <v>10</v>
      </c>
      <c r="T15" s="1">
        <v>10</v>
      </c>
      <c r="U15" s="1">
        <v>10</v>
      </c>
      <c r="V15" s="1">
        <v>10</v>
      </c>
      <c r="W15" s="1">
        <v>10</v>
      </c>
      <c r="X15" s="1">
        <v>10</v>
      </c>
      <c r="Y15" s="1">
        <v>10</v>
      </c>
      <c r="Z15" s="1">
        <v>9</v>
      </c>
    </row>
    <row r="16" spans="1:26" x14ac:dyDescent="0.3">
      <c r="A16" s="6">
        <v>43891</v>
      </c>
      <c r="B16" s="9">
        <v>11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11</v>
      </c>
      <c r="R16" s="1">
        <v>11</v>
      </c>
      <c r="S16" s="1">
        <v>11</v>
      </c>
      <c r="T16" s="1">
        <v>8</v>
      </c>
      <c r="U16" s="1">
        <v>8</v>
      </c>
      <c r="V16" s="1">
        <v>6</v>
      </c>
      <c r="W16" s="1">
        <v>5</v>
      </c>
      <c r="X16" s="1">
        <v>5</v>
      </c>
      <c r="Y16" s="1">
        <v>5</v>
      </c>
      <c r="Z16" s="1">
        <v>5</v>
      </c>
    </row>
    <row r="17" spans="1:26" x14ac:dyDescent="0.3">
      <c r="A17" s="6">
        <v>43922</v>
      </c>
      <c r="B17" s="9">
        <v>16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16</v>
      </c>
      <c r="S17" s="1">
        <v>16</v>
      </c>
      <c r="T17" s="1">
        <v>15</v>
      </c>
      <c r="U17" s="1">
        <v>15</v>
      </c>
      <c r="V17" s="1">
        <v>15</v>
      </c>
      <c r="W17" s="1">
        <v>14</v>
      </c>
      <c r="X17" s="1">
        <v>14</v>
      </c>
      <c r="Y17" s="1">
        <v>14</v>
      </c>
      <c r="Z17" s="1">
        <v>14</v>
      </c>
    </row>
    <row r="18" spans="1:26" x14ac:dyDescent="0.3">
      <c r="A18" s="6">
        <v>43952</v>
      </c>
      <c r="B18" s="9">
        <v>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25</v>
      </c>
      <c r="T18" s="1">
        <v>24</v>
      </c>
      <c r="U18" s="1">
        <v>24</v>
      </c>
      <c r="V18" s="1">
        <v>23</v>
      </c>
      <c r="W18" s="1">
        <v>19</v>
      </c>
      <c r="X18" s="1">
        <v>17</v>
      </c>
      <c r="Y18" s="1">
        <v>16</v>
      </c>
      <c r="Z18" s="1">
        <v>16</v>
      </c>
    </row>
    <row r="19" spans="1:26" x14ac:dyDescent="0.3">
      <c r="A19" s="6">
        <v>43983</v>
      </c>
      <c r="B19" s="9">
        <v>22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22</v>
      </c>
      <c r="U19" s="1">
        <v>22</v>
      </c>
      <c r="V19" s="1">
        <v>22</v>
      </c>
      <c r="W19" s="1">
        <v>20</v>
      </c>
      <c r="X19" s="1">
        <v>20</v>
      </c>
      <c r="Y19" s="1">
        <v>19</v>
      </c>
      <c r="Z19" s="1">
        <v>16</v>
      </c>
    </row>
    <row r="20" spans="1:26" x14ac:dyDescent="0.3">
      <c r="A20" s="6">
        <v>44013</v>
      </c>
      <c r="B20" s="9">
        <v>21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21</v>
      </c>
      <c r="V20" s="1">
        <v>21</v>
      </c>
      <c r="W20" s="1">
        <v>20</v>
      </c>
      <c r="X20" s="1">
        <v>20</v>
      </c>
      <c r="Y20" s="1">
        <v>18</v>
      </c>
      <c r="Z20" s="1">
        <v>18</v>
      </c>
    </row>
    <row r="21" spans="1:26" x14ac:dyDescent="0.3">
      <c r="A21" s="6">
        <v>44044</v>
      </c>
      <c r="B21" s="9">
        <v>27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27</v>
      </c>
      <c r="W21" s="1">
        <v>27</v>
      </c>
      <c r="X21" s="1">
        <v>27</v>
      </c>
      <c r="Y21" s="1">
        <v>25</v>
      </c>
      <c r="Z21" s="1">
        <v>22</v>
      </c>
    </row>
    <row r="22" spans="1:26" x14ac:dyDescent="0.3">
      <c r="A22" s="6">
        <v>44075</v>
      </c>
      <c r="B22" s="9">
        <v>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5</v>
      </c>
      <c r="X22" s="1">
        <v>5</v>
      </c>
      <c r="Y22" s="1">
        <v>5</v>
      </c>
      <c r="Z22" s="1">
        <v>5</v>
      </c>
    </row>
    <row r="23" spans="1:26" x14ac:dyDescent="0.3">
      <c r="A23" s="6">
        <v>44105</v>
      </c>
      <c r="B23" s="9">
        <v>12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12</v>
      </c>
      <c r="Y23" s="1">
        <v>12</v>
      </c>
      <c r="Z23" s="1">
        <v>12</v>
      </c>
    </row>
    <row r="24" spans="1:26" x14ac:dyDescent="0.3">
      <c r="A24" s="6">
        <v>44136</v>
      </c>
      <c r="B24" s="9">
        <v>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10</v>
      </c>
    </row>
    <row r="25" spans="1:26" x14ac:dyDescent="0.3">
      <c r="A25" s="6">
        <v>44166</v>
      </c>
      <c r="B25" s="9">
        <v>16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16</v>
      </c>
    </row>
    <row r="26" spans="1:26" x14ac:dyDescent="0.3">
      <c r="A26" s="87" t="s">
        <v>441</v>
      </c>
      <c r="B26" s="10">
        <v>330</v>
      </c>
      <c r="C26" s="1">
        <v>11</v>
      </c>
      <c r="D26" s="1">
        <v>24</v>
      </c>
      <c r="E26" s="1">
        <v>36</v>
      </c>
      <c r="F26" s="1">
        <v>50</v>
      </c>
      <c r="G26" s="1">
        <v>62</v>
      </c>
      <c r="H26" s="1">
        <v>71</v>
      </c>
      <c r="I26" s="1">
        <v>82</v>
      </c>
      <c r="J26" s="1">
        <v>83</v>
      </c>
      <c r="K26" s="1">
        <v>85</v>
      </c>
      <c r="L26" s="1">
        <v>97</v>
      </c>
      <c r="M26" s="1">
        <v>107</v>
      </c>
      <c r="N26" s="1">
        <v>112</v>
      </c>
      <c r="O26" s="1">
        <v>129</v>
      </c>
      <c r="P26" s="1">
        <v>136</v>
      </c>
      <c r="Q26" s="1">
        <v>144</v>
      </c>
      <c r="R26" s="1">
        <v>157</v>
      </c>
      <c r="S26" s="1">
        <v>175</v>
      </c>
      <c r="T26" s="1">
        <v>189</v>
      </c>
      <c r="U26" s="1">
        <v>207</v>
      </c>
      <c r="V26" s="1">
        <v>230</v>
      </c>
      <c r="W26" s="1">
        <v>220</v>
      </c>
      <c r="X26" s="1">
        <v>227</v>
      </c>
      <c r="Y26" s="1">
        <v>228</v>
      </c>
      <c r="Z26" s="1">
        <v>233</v>
      </c>
    </row>
    <row r="27" spans="1:26" x14ac:dyDescent="0.3">
      <c r="A27" s="6"/>
      <c r="B27" s="3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6"/>
      <c r="B28" s="3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6"/>
      <c r="B29" s="3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3" spans="1:26" ht="28.8" x14ac:dyDescent="0.3">
      <c r="A33" s="36" t="s">
        <v>369</v>
      </c>
      <c r="B33" s="33" t="s">
        <v>370</v>
      </c>
      <c r="C33" s="37" t="s">
        <v>395</v>
      </c>
      <c r="D33" s="37" t="s">
        <v>396</v>
      </c>
      <c r="E33" s="37" t="s">
        <v>397</v>
      </c>
      <c r="F33" s="37" t="s">
        <v>398</v>
      </c>
      <c r="G33" s="37" t="s">
        <v>399</v>
      </c>
      <c r="H33" s="37" t="s">
        <v>400</v>
      </c>
      <c r="I33" s="37" t="s">
        <v>401</v>
      </c>
      <c r="J33" s="37" t="s">
        <v>402</v>
      </c>
      <c r="K33" s="37" t="s">
        <v>403</v>
      </c>
      <c r="L33" s="37" t="s">
        <v>404</v>
      </c>
      <c r="M33" s="37" t="s">
        <v>405</v>
      </c>
      <c r="N33" s="37" t="s">
        <v>406</v>
      </c>
      <c r="O33" s="37" t="s">
        <v>407</v>
      </c>
      <c r="P33" s="37" t="s">
        <v>408</v>
      </c>
      <c r="Q33" s="37" t="s">
        <v>409</v>
      </c>
      <c r="R33" s="37" t="s">
        <v>410</v>
      </c>
      <c r="S33" s="37" t="s">
        <v>411</v>
      </c>
      <c r="T33" s="37" t="s">
        <v>412</v>
      </c>
      <c r="U33" s="37" t="s">
        <v>413</v>
      </c>
      <c r="V33" s="37" t="s">
        <v>414</v>
      </c>
      <c r="W33" s="37" t="s">
        <v>415</v>
      </c>
      <c r="X33" s="37" t="s">
        <v>416</v>
      </c>
      <c r="Y33" s="37" t="s">
        <v>417</v>
      </c>
      <c r="Z33" s="38" t="s">
        <v>418</v>
      </c>
    </row>
    <row r="34" spans="1:26" x14ac:dyDescent="0.3">
      <c r="A34" s="39">
        <v>43466</v>
      </c>
      <c r="B34" s="9">
        <v>11</v>
      </c>
      <c r="C34" s="40">
        <f>IFERROR((INDEX(referencia!$C2:$Z2,1,(MATCH(referencia!$A2,referencia!$C$1:$Z$1,0)+COLUMNS(referencia!$C:C)-1)))," ")</f>
        <v>11</v>
      </c>
      <c r="D34" s="40">
        <f>IFERROR((INDEX(referencia!$C2:$Z2,1,(MATCH(referencia!$A2,referencia!$C$1:$Z$1,0)+COLUMNS(referencia!$C:D)-1)))," ")</f>
        <v>11</v>
      </c>
      <c r="E34" s="40">
        <f>IFERROR((INDEX(referencia!$C2:$Z2,1,(MATCH(referencia!$A2,referencia!$C$1:$Z$1,0)+COLUMNS(referencia!$C:E)-1)))," ")</f>
        <v>10</v>
      </c>
      <c r="F34" s="40">
        <f>IFERROR((INDEX(referencia!$C2:$Z2,1,(MATCH(referencia!$A2,referencia!$C$1:$Z$1,0)+COLUMNS(referencia!$C:F)-1)))," ")</f>
        <v>10</v>
      </c>
      <c r="G34" s="40">
        <f>IFERROR((INDEX(referencia!$C2:$Z2,1,(MATCH(referencia!$A2,referencia!$C$1:$Z$1,0)+COLUMNS(referencia!$C:G)-1)))," ")</f>
        <v>10</v>
      </c>
      <c r="H34" s="40">
        <f>IFERROR((INDEX(referencia!$C2:$Z2,1,(MATCH(referencia!$A2,referencia!$C$1:$Z$1,0)+COLUMNS(referencia!$C:H)-1)))," ")</f>
        <v>10</v>
      </c>
      <c r="I34" s="40">
        <f>IFERROR((INDEX(referencia!$C2:$Z2,1,(MATCH(referencia!$A2,referencia!$C$1:$Z$1,0)+COLUMNS(referencia!$C:I)-1)))," ")</f>
        <v>10</v>
      </c>
      <c r="J34" s="40">
        <f>IFERROR((INDEX(referencia!$C2:$Z2,1,(MATCH(referencia!$A2,referencia!$C$1:$Z$1,0)+COLUMNS(referencia!$C:J)-1)))," ")</f>
        <v>9</v>
      </c>
      <c r="K34" s="40">
        <f>IFERROR((INDEX(referencia!$C2:$Z2,1,(MATCH(referencia!$A2,referencia!$C$1:$Z$1,0)+COLUMNS(referencia!$C:K)-1)))," ")</f>
        <v>8</v>
      </c>
      <c r="L34" s="40">
        <f>IFERROR((INDEX(referencia!$C2:$Z2,1,(MATCH(referencia!$A2,referencia!$C$1:$Z$1,0)+COLUMNS(referencia!$C:L)-1)))," ")</f>
        <v>8</v>
      </c>
      <c r="M34" s="40">
        <f>IFERROR((INDEX(referencia!$C2:$Z2,1,(MATCH(referencia!$A2,referencia!$C$1:$Z$1,0)+COLUMNS(referencia!$C:M)-1)))," ")</f>
        <v>8</v>
      </c>
      <c r="N34" s="40">
        <f>IFERROR((INDEX(referencia!$C2:$Z2,1,(MATCH(referencia!$A2,referencia!$C$1:$Z$1,0)+COLUMNS(referencia!$C:N)-1)))," ")</f>
        <v>8</v>
      </c>
      <c r="O34" s="40">
        <f>IFERROR((INDEX(referencia!$C2:$Z2,1,(MATCH(referencia!$A2,referencia!$C$1:$Z$1,0)+COLUMNS(referencia!$C:O)-1)))," ")</f>
        <v>8</v>
      </c>
      <c r="P34" s="40">
        <f>IFERROR((INDEX(referencia!$C2:$Z2,1,(MATCH(referencia!$A2,referencia!$C$1:$Z$1,0)+COLUMNS(referencia!$C:P)-1)))," ")</f>
        <v>8</v>
      </c>
      <c r="Q34" s="40">
        <f>IFERROR((INDEX(referencia!$C2:$Z2,1,(MATCH(referencia!$A2,referencia!$C$1:$Z$1,0)+COLUMNS(referencia!$C:Q)-1)))," ")</f>
        <v>8</v>
      </c>
      <c r="R34" s="40">
        <f>IFERROR((INDEX(referencia!$C2:$Z2,1,(MATCH(referencia!$A2,referencia!$C$1:$Z$1,0)+COLUMNS(referencia!$C:R)-1)))," ")</f>
        <v>8</v>
      </c>
      <c r="S34" s="40">
        <f>IFERROR((INDEX(referencia!$C2:$Z2,1,(MATCH(referencia!$A2,referencia!$C$1:$Z$1,0)+COLUMNS(referencia!$C:S)-1)))," ")</f>
        <v>8</v>
      </c>
      <c r="T34" s="40">
        <f>IFERROR((INDEX(referencia!$C2:$Z2,1,(MATCH(referencia!$A2,referencia!$C$1:$Z$1,0)+COLUMNS(referencia!$C:T)-1)))," ")</f>
        <v>8</v>
      </c>
      <c r="U34" s="40">
        <f>IFERROR((INDEX(referencia!$C2:$Z2,1,(MATCH(referencia!$A2,referencia!$C$1:$Z$1,0)+COLUMNS(referencia!$C:U)-1)))," ")</f>
        <v>8</v>
      </c>
      <c r="V34" s="40">
        <f>IFERROR((INDEX(referencia!$C2:$Z2,1,(MATCH(referencia!$A2,referencia!$C$1:$Z$1,0)+COLUMNS(referencia!$C:V)-1)))," ")</f>
        <v>8</v>
      </c>
      <c r="W34" s="40">
        <f>IFERROR((INDEX(referencia!$C2:$Z2,1,(MATCH(referencia!$A2,referencia!$C$1:$Z$1,0)+COLUMNS(referencia!$C:W)-1)))," ")</f>
        <v>7</v>
      </c>
      <c r="X34" s="40">
        <f>IFERROR((INDEX(referencia!$C2:$Z2,1,(MATCH(referencia!$A2,referencia!$C$1:$Z$1,0)+COLUMNS(referencia!$C:X)-1)))," ")</f>
        <v>7</v>
      </c>
      <c r="Y34" s="40">
        <f>IFERROR((INDEX(referencia!$C2:$Z2,1,(MATCH(referencia!$A2,referencia!$C$1:$Z$1,0)+COLUMNS(referencia!$C:Y)-1)))," ")</f>
        <v>7</v>
      </c>
      <c r="Z34" s="40">
        <f>IFERROR((INDEX(referencia!$C2:$Z2,1,(MATCH(referencia!$A2,referencia!$C$1:$Z$1,0)+COLUMNS(referencia!$C:Z)-1)))," ")</f>
        <v>7</v>
      </c>
    </row>
    <row r="35" spans="1:26" x14ac:dyDescent="0.3">
      <c r="A35" s="39">
        <v>43497</v>
      </c>
      <c r="B35" s="9">
        <v>13</v>
      </c>
      <c r="C35" s="40">
        <f>IFERROR((INDEX(referencia!$C3:$Z3,1,(MATCH(referencia!$A3,referencia!$C$1:$Z$1,0)+COLUMNS(referencia!$C:C)-1)))," ")</f>
        <v>13</v>
      </c>
      <c r="D35" s="40">
        <f>IFERROR((INDEX(referencia!$C3:$Z3,1,(MATCH(referencia!$A3,referencia!$C$1:$Z$1,0)+COLUMNS(referencia!$C:D)-1)))," ")</f>
        <v>13</v>
      </c>
      <c r="E35" s="40">
        <f>IFERROR((INDEX(referencia!$C3:$Z3,1,(MATCH(referencia!$A3,referencia!$C$1:$Z$1,0)+COLUMNS(referencia!$C:E)-1)))," ")</f>
        <v>12</v>
      </c>
      <c r="F35" s="40">
        <f>IFERROR((INDEX(referencia!$C3:$Z3,1,(MATCH(referencia!$A3,referencia!$C$1:$Z$1,0)+COLUMNS(referencia!$C:F)-1)))," ")</f>
        <v>11</v>
      </c>
      <c r="G35" s="40">
        <f>IFERROR((INDEX(referencia!$C3:$Z3,1,(MATCH(referencia!$A3,referencia!$C$1:$Z$1,0)+COLUMNS(referencia!$C:G)-1)))," ")</f>
        <v>10</v>
      </c>
      <c r="H35" s="40">
        <f>IFERROR((INDEX(referencia!$C3:$Z3,1,(MATCH(referencia!$A3,referencia!$C$1:$Z$1,0)+COLUMNS(referencia!$C:H)-1)))," ")</f>
        <v>10</v>
      </c>
      <c r="I35" s="40">
        <f>IFERROR((INDEX(referencia!$C3:$Z3,1,(MATCH(referencia!$A3,referencia!$C$1:$Z$1,0)+COLUMNS(referencia!$C:I)-1)))," ")</f>
        <v>10</v>
      </c>
      <c r="J35" s="40">
        <f>IFERROR((INDEX(referencia!$C3:$Z3,1,(MATCH(referencia!$A3,referencia!$C$1:$Z$1,0)+COLUMNS(referencia!$C:J)-1)))," ")</f>
        <v>10</v>
      </c>
      <c r="K35" s="40">
        <f>IFERROR((INDEX(referencia!$C3:$Z3,1,(MATCH(referencia!$A3,referencia!$C$1:$Z$1,0)+COLUMNS(referencia!$C:K)-1)))," ")</f>
        <v>9</v>
      </c>
      <c r="L35" s="40">
        <f>IFERROR((INDEX(referencia!$C3:$Z3,1,(MATCH(referencia!$A3,referencia!$C$1:$Z$1,0)+COLUMNS(referencia!$C:L)-1)))," ")</f>
        <v>8</v>
      </c>
      <c r="M35" s="40">
        <f>IFERROR((INDEX(referencia!$C3:$Z3,1,(MATCH(referencia!$A3,referencia!$C$1:$Z$1,0)+COLUMNS(referencia!$C:M)-1)))," ")</f>
        <v>8</v>
      </c>
      <c r="N35" s="40">
        <f>IFERROR((INDEX(referencia!$C3:$Z3,1,(MATCH(referencia!$A3,referencia!$C$1:$Z$1,0)+COLUMNS(referencia!$C:N)-1)))," ")</f>
        <v>8</v>
      </c>
      <c r="O35" s="40">
        <f>IFERROR((INDEX(referencia!$C3:$Z3,1,(MATCH(referencia!$A3,referencia!$C$1:$Z$1,0)+COLUMNS(referencia!$C:O)-1)))," ")</f>
        <v>8</v>
      </c>
      <c r="P35" s="40">
        <f>IFERROR((INDEX(referencia!$C3:$Z3,1,(MATCH(referencia!$A3,referencia!$C$1:$Z$1,0)+COLUMNS(referencia!$C:P)-1)))," ")</f>
        <v>8</v>
      </c>
      <c r="Q35" s="40">
        <f>IFERROR((INDEX(referencia!$C3:$Z3,1,(MATCH(referencia!$A3,referencia!$C$1:$Z$1,0)+COLUMNS(referencia!$C:Q)-1)))," ")</f>
        <v>8</v>
      </c>
      <c r="R35" s="40">
        <f>IFERROR((INDEX(referencia!$C3:$Z3,1,(MATCH(referencia!$A3,referencia!$C$1:$Z$1,0)+COLUMNS(referencia!$C:R)-1)))," ")</f>
        <v>8</v>
      </c>
      <c r="S35" s="40">
        <f>IFERROR((INDEX(referencia!$C3:$Z3,1,(MATCH(referencia!$A3,referencia!$C$1:$Z$1,0)+COLUMNS(referencia!$C:S)-1)))," ")</f>
        <v>8</v>
      </c>
      <c r="T35" s="40">
        <f>IFERROR((INDEX(referencia!$C3:$Z3,1,(MATCH(referencia!$A3,referencia!$C$1:$Z$1,0)+COLUMNS(referencia!$C:T)-1)))," ")</f>
        <v>8</v>
      </c>
      <c r="U35" s="40">
        <f>IFERROR((INDEX(referencia!$C3:$Z3,1,(MATCH(referencia!$A3,referencia!$C$1:$Z$1,0)+COLUMNS(referencia!$C:U)-1)))," ")</f>
        <v>8</v>
      </c>
      <c r="V35" s="40">
        <f>IFERROR((INDEX(referencia!$C3:$Z3,1,(MATCH(referencia!$A3,referencia!$C$1:$Z$1,0)+COLUMNS(referencia!$C:V)-1)))," ")</f>
        <v>8</v>
      </c>
      <c r="W35" s="40">
        <f>IFERROR((INDEX(referencia!$C3:$Z3,1,(MATCH(referencia!$A3,referencia!$C$1:$Z$1,0)+COLUMNS(referencia!$C:W)-1)))," ")</f>
        <v>8</v>
      </c>
      <c r="X35" s="40">
        <f>IFERROR((INDEX(referencia!$C3:$Z3,1,(MATCH(referencia!$A3,referencia!$C$1:$Z$1,0)+COLUMNS(referencia!$C:X)-1)))," ")</f>
        <v>8</v>
      </c>
      <c r="Y35" s="40">
        <f>IFERROR((INDEX(referencia!$C3:$Z3,1,(MATCH(referencia!$A3,referencia!$C$1:$Z$1,0)+COLUMNS(referencia!$C:Y)-1)))," ")</f>
        <v>8</v>
      </c>
      <c r="Z35" s="40" t="str">
        <f>IFERROR((INDEX(referencia!$C3:$Z3,1,(MATCH(referencia!$A3,referencia!$C$1:$Z$1,0)+COLUMNS(referencia!$C:Z)-1)))," ")</f>
        <v xml:space="preserve"> </v>
      </c>
    </row>
    <row r="36" spans="1:26" x14ac:dyDescent="0.3">
      <c r="A36" s="39">
        <v>43525</v>
      </c>
      <c r="B36" s="9">
        <v>13</v>
      </c>
      <c r="C36" s="40">
        <f>IFERROR((INDEX(referencia!$C4:$Z4,1,(MATCH(referencia!$A4,referencia!$C$1:$Z$1,0)+COLUMNS(referencia!$C:C)-1)))," ")</f>
        <v>13</v>
      </c>
      <c r="D36" s="40">
        <f>IFERROR((INDEX(referencia!$C4:$Z4,1,(MATCH(referencia!$A4,referencia!$C$1:$Z$1,0)+COLUMNS(referencia!$C:D)-1)))," ")</f>
        <v>13</v>
      </c>
      <c r="E36" s="40">
        <f>IFERROR((INDEX(referencia!$C4:$Z4,1,(MATCH(referencia!$A4,referencia!$C$1:$Z$1,0)+COLUMNS(referencia!$C:E)-1)))," ")</f>
        <v>13</v>
      </c>
      <c r="F36" s="40">
        <f>IFERROR((INDEX(referencia!$C4:$Z4,1,(MATCH(referencia!$A4,referencia!$C$1:$Z$1,0)+COLUMNS(referencia!$C:F)-1)))," ")</f>
        <v>13</v>
      </c>
      <c r="G36" s="40">
        <f>IFERROR((INDEX(referencia!$C4:$Z4,1,(MATCH(referencia!$A4,referencia!$C$1:$Z$1,0)+COLUMNS(referencia!$C:G)-1)))," ")</f>
        <v>13</v>
      </c>
      <c r="H36" s="40">
        <f>IFERROR((INDEX(referencia!$C4:$Z4,1,(MATCH(referencia!$A4,referencia!$C$1:$Z$1,0)+COLUMNS(referencia!$C:H)-1)))," ")</f>
        <v>13</v>
      </c>
      <c r="I36" s="40">
        <f>IFERROR((INDEX(referencia!$C4:$Z4,1,(MATCH(referencia!$A4,referencia!$C$1:$Z$1,0)+COLUMNS(referencia!$C:I)-1)))," ")</f>
        <v>12</v>
      </c>
      <c r="J36" s="40">
        <f>IFERROR((INDEX(referencia!$C4:$Z4,1,(MATCH(referencia!$A4,referencia!$C$1:$Z$1,0)+COLUMNS(referencia!$C:J)-1)))," ")</f>
        <v>11</v>
      </c>
      <c r="K36" s="40">
        <f>IFERROR((INDEX(referencia!$C4:$Z4,1,(MATCH(referencia!$A4,referencia!$C$1:$Z$1,0)+COLUMNS(referencia!$C:K)-1)))," ")</f>
        <v>11</v>
      </c>
      <c r="L36" s="40">
        <f>IFERROR((INDEX(referencia!$C4:$Z4,1,(MATCH(referencia!$A4,referencia!$C$1:$Z$1,0)+COLUMNS(referencia!$C:L)-1)))," ")</f>
        <v>11</v>
      </c>
      <c r="M36" s="40">
        <f>IFERROR((INDEX(referencia!$C4:$Z4,1,(MATCH(referencia!$A4,referencia!$C$1:$Z$1,0)+COLUMNS(referencia!$C:M)-1)))," ")</f>
        <v>11</v>
      </c>
      <c r="N36" s="40">
        <f>IFERROR((INDEX(referencia!$C4:$Z4,1,(MATCH(referencia!$A4,referencia!$C$1:$Z$1,0)+COLUMNS(referencia!$C:N)-1)))," ")</f>
        <v>11</v>
      </c>
      <c r="O36" s="40">
        <f>IFERROR((INDEX(referencia!$C4:$Z4,1,(MATCH(referencia!$A4,referencia!$C$1:$Z$1,0)+COLUMNS(referencia!$C:O)-1)))," ")</f>
        <v>10</v>
      </c>
      <c r="P36" s="40">
        <f>IFERROR((INDEX(referencia!$C4:$Z4,1,(MATCH(referencia!$A4,referencia!$C$1:$Z$1,0)+COLUMNS(referencia!$C:P)-1)))," ")</f>
        <v>10</v>
      </c>
      <c r="Q36" s="40">
        <f>IFERROR((INDEX(referencia!$C4:$Z4,1,(MATCH(referencia!$A4,referencia!$C$1:$Z$1,0)+COLUMNS(referencia!$C:Q)-1)))," ")</f>
        <v>7</v>
      </c>
      <c r="R36" s="40">
        <f>IFERROR((INDEX(referencia!$C4:$Z4,1,(MATCH(referencia!$A4,referencia!$C$1:$Z$1,0)+COLUMNS(referencia!$C:R)-1)))," ")</f>
        <v>6</v>
      </c>
      <c r="S36" s="40">
        <f>IFERROR((INDEX(referencia!$C4:$Z4,1,(MATCH(referencia!$A4,referencia!$C$1:$Z$1,0)+COLUMNS(referencia!$C:S)-1)))," ")</f>
        <v>6</v>
      </c>
      <c r="T36" s="40">
        <f>IFERROR((INDEX(referencia!$C4:$Z4,1,(MATCH(referencia!$A4,referencia!$C$1:$Z$1,0)+COLUMNS(referencia!$C:T)-1)))," ")</f>
        <v>6</v>
      </c>
      <c r="U36" s="40">
        <f>IFERROR((INDEX(referencia!$C4:$Z4,1,(MATCH(referencia!$A4,referencia!$C$1:$Z$1,0)+COLUMNS(referencia!$C:U)-1)))," ")</f>
        <v>5</v>
      </c>
      <c r="V36" s="40">
        <f>IFERROR((INDEX(referencia!$C4:$Z4,1,(MATCH(referencia!$A4,referencia!$C$1:$Z$1,0)+COLUMNS(referencia!$C:V)-1)))," ")</f>
        <v>4</v>
      </c>
      <c r="W36" s="40">
        <f>IFERROR((INDEX(referencia!$C4:$Z4,1,(MATCH(referencia!$A4,referencia!$C$1:$Z$1,0)+COLUMNS(referencia!$C:W)-1)))," ")</f>
        <v>4</v>
      </c>
      <c r="X36" s="40">
        <f>IFERROR((INDEX(referencia!$C4:$Z4,1,(MATCH(referencia!$A4,referencia!$C$1:$Z$1,0)+COLUMNS(referencia!$C:X)-1)))," ")</f>
        <v>4</v>
      </c>
      <c r="Y36" s="40" t="str">
        <f>IFERROR((INDEX(referencia!$C4:$Z4,1,(MATCH(referencia!$A4,referencia!$C$1:$Z$1,0)+COLUMNS(referencia!$C:Y)-1)))," ")</f>
        <v xml:space="preserve"> </v>
      </c>
      <c r="Z36" s="40" t="str">
        <f>IFERROR((INDEX(referencia!$C4:$Z4,1,(MATCH(referencia!$A4,referencia!$C$1:$Z$1,0)+COLUMNS(referencia!$C:Z)-1)))," ")</f>
        <v xml:space="preserve"> </v>
      </c>
    </row>
    <row r="37" spans="1:26" x14ac:dyDescent="0.3">
      <c r="A37" s="39">
        <v>43556</v>
      </c>
      <c r="B37" s="9">
        <v>15</v>
      </c>
      <c r="C37" s="40">
        <f>IFERROR((INDEX(referencia!$C5:$Z5,1,(MATCH(referencia!$A5,referencia!$C$1:$Z$1,0)+COLUMNS(referencia!$C:C)-1)))," ")</f>
        <v>15</v>
      </c>
      <c r="D37" s="40">
        <f>IFERROR((INDEX(referencia!$C5:$Z5,1,(MATCH(referencia!$A5,referencia!$C$1:$Z$1,0)+COLUMNS(referencia!$C:D)-1)))," ")</f>
        <v>15</v>
      </c>
      <c r="E37" s="40">
        <f>IFERROR((INDEX(referencia!$C5:$Z5,1,(MATCH(referencia!$A5,referencia!$C$1:$Z$1,0)+COLUMNS(referencia!$C:E)-1)))," ")</f>
        <v>14</v>
      </c>
      <c r="F37" s="40">
        <f>IFERROR((INDEX(referencia!$C5:$Z5,1,(MATCH(referencia!$A5,referencia!$C$1:$Z$1,0)+COLUMNS(referencia!$C:F)-1)))," ")</f>
        <v>14</v>
      </c>
      <c r="G37" s="40">
        <f>IFERROR((INDEX(referencia!$C5:$Z5,1,(MATCH(referencia!$A5,referencia!$C$1:$Z$1,0)+COLUMNS(referencia!$C:G)-1)))," ")</f>
        <v>13</v>
      </c>
      <c r="H37" s="40">
        <f>IFERROR((INDEX(referencia!$C5:$Z5,1,(MATCH(referencia!$A5,referencia!$C$1:$Z$1,0)+COLUMNS(referencia!$C:H)-1)))," ")</f>
        <v>12</v>
      </c>
      <c r="I37" s="40">
        <f>IFERROR((INDEX(referencia!$C5:$Z5,1,(MATCH(referencia!$A5,referencia!$C$1:$Z$1,0)+COLUMNS(referencia!$C:I)-1)))," ")</f>
        <v>12</v>
      </c>
      <c r="J37" s="40">
        <f>IFERROR((INDEX(referencia!$C5:$Z5,1,(MATCH(referencia!$A5,referencia!$C$1:$Z$1,0)+COLUMNS(referencia!$C:J)-1)))," ")</f>
        <v>11</v>
      </c>
      <c r="K37" s="40">
        <f>IFERROR((INDEX(referencia!$C5:$Z5,1,(MATCH(referencia!$A5,referencia!$C$1:$Z$1,0)+COLUMNS(referencia!$C:K)-1)))," ")</f>
        <v>11</v>
      </c>
      <c r="L37" s="40">
        <f>IFERROR((INDEX(referencia!$C5:$Z5,1,(MATCH(referencia!$A5,referencia!$C$1:$Z$1,0)+COLUMNS(referencia!$C:L)-1)))," ")</f>
        <v>9</v>
      </c>
      <c r="M37" s="40">
        <f>IFERROR((INDEX(referencia!$C5:$Z5,1,(MATCH(referencia!$A5,referencia!$C$1:$Z$1,0)+COLUMNS(referencia!$C:M)-1)))," ")</f>
        <v>9</v>
      </c>
      <c r="N37" s="40">
        <f>IFERROR((INDEX(referencia!$C5:$Z5,1,(MATCH(referencia!$A5,referencia!$C$1:$Z$1,0)+COLUMNS(referencia!$C:N)-1)))," ")</f>
        <v>9</v>
      </c>
      <c r="O37" s="40">
        <f>IFERROR((INDEX(referencia!$C5:$Z5,1,(MATCH(referencia!$A5,referencia!$C$1:$Z$1,0)+COLUMNS(referencia!$C:O)-1)))," ")</f>
        <v>7</v>
      </c>
      <c r="P37" s="40">
        <f>IFERROR((INDEX(referencia!$C5:$Z5,1,(MATCH(referencia!$A5,referencia!$C$1:$Z$1,0)+COLUMNS(referencia!$C:P)-1)))," ")</f>
        <v>7</v>
      </c>
      <c r="Q37" s="40">
        <f>IFERROR((INDEX(referencia!$C5:$Z5,1,(MATCH(referencia!$A5,referencia!$C$1:$Z$1,0)+COLUMNS(referencia!$C:Q)-1)))," ")</f>
        <v>7</v>
      </c>
      <c r="R37" s="40">
        <f>IFERROR((INDEX(referencia!$C5:$Z5,1,(MATCH(referencia!$A5,referencia!$C$1:$Z$1,0)+COLUMNS(referencia!$C:R)-1)))," ")</f>
        <v>7</v>
      </c>
      <c r="S37" s="40">
        <f>IFERROR((INDEX(referencia!$C5:$Z5,1,(MATCH(referencia!$A5,referencia!$C$1:$Z$1,0)+COLUMNS(referencia!$C:S)-1)))," ")</f>
        <v>7</v>
      </c>
      <c r="T37" s="40">
        <f>IFERROR((INDEX(referencia!$C5:$Z5,1,(MATCH(referencia!$A5,referencia!$C$1:$Z$1,0)+COLUMNS(referencia!$C:T)-1)))," ")</f>
        <v>7</v>
      </c>
      <c r="U37" s="40">
        <f>IFERROR((INDEX(referencia!$C5:$Z5,1,(MATCH(referencia!$A5,referencia!$C$1:$Z$1,0)+COLUMNS(referencia!$C:U)-1)))," ")</f>
        <v>7</v>
      </c>
      <c r="V37" s="40">
        <f>IFERROR((INDEX(referencia!$C5:$Z5,1,(MATCH(referencia!$A5,referencia!$C$1:$Z$1,0)+COLUMNS(referencia!$C:V)-1)))," ")</f>
        <v>7</v>
      </c>
      <c r="W37" s="40">
        <f>IFERROR((INDEX(referencia!$C5:$Z5,1,(MATCH(referencia!$A5,referencia!$C$1:$Z$1,0)+COLUMNS(referencia!$C:W)-1)))," ")</f>
        <v>7</v>
      </c>
      <c r="X37" s="40" t="str">
        <f>IFERROR((INDEX(referencia!$C5:$Z5,1,(MATCH(referencia!$A5,referencia!$C$1:$Z$1,0)+COLUMNS(referencia!$C:X)-1)))," ")</f>
        <v xml:space="preserve"> </v>
      </c>
      <c r="Y37" s="40" t="str">
        <f>IFERROR((INDEX(referencia!$C5:$Z5,1,(MATCH(referencia!$A5,referencia!$C$1:$Z$1,0)+COLUMNS(referencia!$C:Y)-1)))," ")</f>
        <v xml:space="preserve"> </v>
      </c>
      <c r="Z37" s="40" t="str">
        <f>IFERROR((INDEX(referencia!$C5:$Z5,1,(MATCH(referencia!$A5,referencia!$C$1:$Z$1,0)+COLUMNS(referencia!$C:Z)-1)))," ")</f>
        <v xml:space="preserve"> </v>
      </c>
    </row>
    <row r="38" spans="1:26" x14ac:dyDescent="0.3">
      <c r="A38" s="39">
        <v>43586</v>
      </c>
      <c r="B38" s="9">
        <v>13</v>
      </c>
      <c r="C38" s="40">
        <f>IFERROR((INDEX(referencia!$C6:$Z6,1,(MATCH(referencia!$A6,referencia!$C$1:$Z$1,0)+COLUMNS(referencia!$C:C)-1)))," ")</f>
        <v>13</v>
      </c>
      <c r="D38" s="40">
        <f>IFERROR((INDEX(referencia!$C6:$Z6,1,(MATCH(referencia!$A6,referencia!$C$1:$Z$1,0)+COLUMNS(referencia!$C:D)-1)))," ")</f>
        <v>13</v>
      </c>
      <c r="E38" s="40">
        <f>IFERROR((INDEX(referencia!$C6:$Z6,1,(MATCH(referencia!$A6,referencia!$C$1:$Z$1,0)+COLUMNS(referencia!$C:E)-1)))," ")</f>
        <v>13</v>
      </c>
      <c r="F38" s="40">
        <f>IFERROR((INDEX(referencia!$C6:$Z6,1,(MATCH(referencia!$A6,referencia!$C$1:$Z$1,0)+COLUMNS(referencia!$C:F)-1)))," ")</f>
        <v>12</v>
      </c>
      <c r="G38" s="40">
        <f>IFERROR((INDEX(referencia!$C6:$Z6,1,(MATCH(referencia!$A6,referencia!$C$1:$Z$1,0)+COLUMNS(referencia!$C:G)-1)))," ")</f>
        <v>11</v>
      </c>
      <c r="H38" s="40">
        <f>IFERROR((INDEX(referencia!$C6:$Z6,1,(MATCH(referencia!$A6,referencia!$C$1:$Z$1,0)+COLUMNS(referencia!$C:H)-1)))," ")</f>
        <v>10</v>
      </c>
      <c r="I38" s="40">
        <f>IFERROR((INDEX(referencia!$C6:$Z6,1,(MATCH(referencia!$A6,referencia!$C$1:$Z$1,0)+COLUMNS(referencia!$C:I)-1)))," ")</f>
        <v>10</v>
      </c>
      <c r="J38" s="40">
        <f>IFERROR((INDEX(referencia!$C6:$Z6,1,(MATCH(referencia!$A6,referencia!$C$1:$Z$1,0)+COLUMNS(referencia!$C:J)-1)))," ")</f>
        <v>10</v>
      </c>
      <c r="K38" s="40">
        <f>IFERROR((INDEX(referencia!$C6:$Z6,1,(MATCH(referencia!$A6,referencia!$C$1:$Z$1,0)+COLUMNS(referencia!$C:K)-1)))," ")</f>
        <v>10</v>
      </c>
      <c r="L38" s="40">
        <f>IFERROR((INDEX(referencia!$C6:$Z6,1,(MATCH(referencia!$A6,referencia!$C$1:$Z$1,0)+COLUMNS(referencia!$C:L)-1)))," ")</f>
        <v>9</v>
      </c>
      <c r="M38" s="40">
        <f>IFERROR((INDEX(referencia!$C6:$Z6,1,(MATCH(referencia!$A6,referencia!$C$1:$Z$1,0)+COLUMNS(referencia!$C:M)-1)))," ")</f>
        <v>9</v>
      </c>
      <c r="N38" s="40">
        <f>IFERROR((INDEX(referencia!$C6:$Z6,1,(MATCH(referencia!$A6,referencia!$C$1:$Z$1,0)+COLUMNS(referencia!$C:N)-1)))," ")</f>
        <v>9</v>
      </c>
      <c r="O38" s="40">
        <f>IFERROR((INDEX(referencia!$C6:$Z6,1,(MATCH(referencia!$A6,referencia!$C$1:$Z$1,0)+COLUMNS(referencia!$C:O)-1)))," ")</f>
        <v>8</v>
      </c>
      <c r="P38" s="40">
        <f>IFERROR((INDEX(referencia!$C6:$Z6,1,(MATCH(referencia!$A6,referencia!$C$1:$Z$1,0)+COLUMNS(referencia!$C:P)-1)))," ")</f>
        <v>8</v>
      </c>
      <c r="Q38" s="40">
        <f>IFERROR((INDEX(referencia!$C6:$Z6,1,(MATCH(referencia!$A6,referencia!$C$1:$Z$1,0)+COLUMNS(referencia!$C:Q)-1)))," ")</f>
        <v>6</v>
      </c>
      <c r="R38" s="40">
        <f>IFERROR((INDEX(referencia!$C6:$Z6,1,(MATCH(referencia!$A6,referencia!$C$1:$Z$1,0)+COLUMNS(referencia!$C:R)-1)))," ")</f>
        <v>6</v>
      </c>
      <c r="S38" s="40">
        <f>IFERROR((INDEX(referencia!$C6:$Z6,1,(MATCH(referencia!$A6,referencia!$C$1:$Z$1,0)+COLUMNS(referencia!$C:S)-1)))," ")</f>
        <v>6</v>
      </c>
      <c r="T38" s="40">
        <f>IFERROR((INDEX(referencia!$C6:$Z6,1,(MATCH(referencia!$A6,referencia!$C$1:$Z$1,0)+COLUMNS(referencia!$C:T)-1)))," ")</f>
        <v>6</v>
      </c>
      <c r="U38" s="40">
        <f>IFERROR((INDEX(referencia!$C6:$Z6,1,(MATCH(referencia!$A6,referencia!$C$1:$Z$1,0)+COLUMNS(referencia!$C:U)-1)))," ")</f>
        <v>6</v>
      </c>
      <c r="V38" s="40">
        <f>IFERROR((INDEX(referencia!$C6:$Z6,1,(MATCH(referencia!$A6,referencia!$C$1:$Z$1,0)+COLUMNS(referencia!$C:V)-1)))," ")</f>
        <v>6</v>
      </c>
      <c r="W38" s="40" t="str">
        <f>IFERROR((INDEX(referencia!$C6:$Z6,1,(MATCH(referencia!$A6,referencia!$C$1:$Z$1,0)+COLUMNS(referencia!$C:W)-1)))," ")</f>
        <v xml:space="preserve"> </v>
      </c>
      <c r="X38" s="40" t="str">
        <f>IFERROR((INDEX(referencia!$C6:$Z6,1,(MATCH(referencia!$A6,referencia!$C$1:$Z$1,0)+COLUMNS(referencia!$C:X)-1)))," ")</f>
        <v xml:space="preserve"> </v>
      </c>
      <c r="Y38" s="40" t="str">
        <f>IFERROR((INDEX(referencia!$C6:$Z6,1,(MATCH(referencia!$A6,referencia!$C$1:$Z$1,0)+COLUMNS(referencia!$C:Y)-1)))," ")</f>
        <v xml:space="preserve"> </v>
      </c>
      <c r="Z38" s="40" t="str">
        <f>IFERROR((INDEX(referencia!$C6:$Z6,1,(MATCH(referencia!$A6,referencia!$C$1:$Z$1,0)+COLUMNS(referencia!$C:Z)-1)))," ")</f>
        <v xml:space="preserve"> </v>
      </c>
    </row>
    <row r="39" spans="1:26" x14ac:dyDescent="0.3">
      <c r="A39" s="39">
        <v>43617</v>
      </c>
      <c r="B39" s="9">
        <v>11</v>
      </c>
      <c r="C39" s="40">
        <f>IFERROR((INDEX(referencia!$C7:$Z7,1,(MATCH(referencia!$A7,referencia!$C$1:$Z$1,0)+COLUMNS(referencia!$C:C)-1)))," ")</f>
        <v>11</v>
      </c>
      <c r="D39" s="40">
        <f>IFERROR((INDEX(referencia!$C7:$Z7,1,(MATCH(referencia!$A7,referencia!$C$1:$Z$1,0)+COLUMNS(referencia!$C:D)-1)))," ")</f>
        <v>11</v>
      </c>
      <c r="E39" s="40">
        <f>IFERROR((INDEX(referencia!$C7:$Z7,1,(MATCH(referencia!$A7,referencia!$C$1:$Z$1,0)+COLUMNS(referencia!$C:E)-1)))," ")</f>
        <v>11</v>
      </c>
      <c r="F39" s="40">
        <f>IFERROR((INDEX(referencia!$C7:$Z7,1,(MATCH(referencia!$A7,referencia!$C$1:$Z$1,0)+COLUMNS(referencia!$C:F)-1)))," ")</f>
        <v>10</v>
      </c>
      <c r="G39" s="40">
        <f>IFERROR((INDEX(referencia!$C7:$Z7,1,(MATCH(referencia!$A7,referencia!$C$1:$Z$1,0)+COLUMNS(referencia!$C:G)-1)))," ")</f>
        <v>10</v>
      </c>
      <c r="H39" s="40">
        <f>IFERROR((INDEX(referencia!$C7:$Z7,1,(MATCH(referencia!$A7,referencia!$C$1:$Z$1,0)+COLUMNS(referencia!$C:H)-1)))," ")</f>
        <v>10</v>
      </c>
      <c r="I39" s="40">
        <f>IFERROR((INDEX(referencia!$C7:$Z7,1,(MATCH(referencia!$A7,referencia!$C$1:$Z$1,0)+COLUMNS(referencia!$C:I)-1)))," ")</f>
        <v>9</v>
      </c>
      <c r="J39" s="40">
        <f>IFERROR((INDEX(referencia!$C7:$Z7,1,(MATCH(referencia!$A7,referencia!$C$1:$Z$1,0)+COLUMNS(referencia!$C:J)-1)))," ")</f>
        <v>9</v>
      </c>
      <c r="K39" s="40">
        <f>IFERROR((INDEX(referencia!$C7:$Z7,1,(MATCH(referencia!$A7,referencia!$C$1:$Z$1,0)+COLUMNS(referencia!$C:K)-1)))," ")</f>
        <v>8</v>
      </c>
      <c r="L39" s="40">
        <f>IFERROR((INDEX(referencia!$C7:$Z7,1,(MATCH(referencia!$A7,referencia!$C$1:$Z$1,0)+COLUMNS(referencia!$C:L)-1)))," ")</f>
        <v>8</v>
      </c>
      <c r="M39" s="40">
        <f>IFERROR((INDEX(referencia!$C7:$Z7,1,(MATCH(referencia!$A7,referencia!$C$1:$Z$1,0)+COLUMNS(referencia!$C:M)-1)))," ")</f>
        <v>8</v>
      </c>
      <c r="N39" s="40">
        <f>IFERROR((INDEX(referencia!$C7:$Z7,1,(MATCH(referencia!$A7,referencia!$C$1:$Z$1,0)+COLUMNS(referencia!$C:N)-1)))," ")</f>
        <v>8</v>
      </c>
      <c r="O39" s="40">
        <f>IFERROR((INDEX(referencia!$C7:$Z7,1,(MATCH(referencia!$A7,referencia!$C$1:$Z$1,0)+COLUMNS(referencia!$C:O)-1)))," ")</f>
        <v>8</v>
      </c>
      <c r="P39" s="40">
        <f>IFERROR((INDEX(referencia!$C7:$Z7,1,(MATCH(referencia!$A7,referencia!$C$1:$Z$1,0)+COLUMNS(referencia!$C:P)-1)))," ")</f>
        <v>8</v>
      </c>
      <c r="Q39" s="40">
        <f>IFERROR((INDEX(referencia!$C7:$Z7,1,(MATCH(referencia!$A7,referencia!$C$1:$Z$1,0)+COLUMNS(referencia!$C:Q)-1)))," ")</f>
        <v>8</v>
      </c>
      <c r="R39" s="40">
        <f>IFERROR((INDEX(referencia!$C7:$Z7,1,(MATCH(referencia!$A7,referencia!$C$1:$Z$1,0)+COLUMNS(referencia!$C:R)-1)))," ")</f>
        <v>7</v>
      </c>
      <c r="S39" s="40">
        <f>IFERROR((INDEX(referencia!$C7:$Z7,1,(MATCH(referencia!$A7,referencia!$C$1:$Z$1,0)+COLUMNS(referencia!$C:S)-1)))," ")</f>
        <v>7</v>
      </c>
      <c r="T39" s="40">
        <f>IFERROR((INDEX(referencia!$C7:$Z7,1,(MATCH(referencia!$A7,referencia!$C$1:$Z$1,0)+COLUMNS(referencia!$C:T)-1)))," ")</f>
        <v>7</v>
      </c>
      <c r="U39" s="40">
        <f>IFERROR((INDEX(referencia!$C7:$Z7,1,(MATCH(referencia!$A7,referencia!$C$1:$Z$1,0)+COLUMNS(referencia!$C:U)-1)))," ")</f>
        <v>6</v>
      </c>
      <c r="V39" s="40" t="str">
        <f>IFERROR((INDEX(referencia!$C7:$Z7,1,(MATCH(referencia!$A7,referencia!$C$1:$Z$1,0)+COLUMNS(referencia!$C:V)-1)))," ")</f>
        <v xml:space="preserve"> </v>
      </c>
      <c r="W39" s="40" t="str">
        <f>IFERROR((INDEX(referencia!$C7:$Z7,1,(MATCH(referencia!$A7,referencia!$C$1:$Z$1,0)+COLUMNS(referencia!$C:W)-1)))," ")</f>
        <v xml:space="preserve"> </v>
      </c>
      <c r="X39" s="40" t="str">
        <f>IFERROR((INDEX(referencia!$C7:$Z7,1,(MATCH(referencia!$A7,referencia!$C$1:$Z$1,0)+COLUMNS(referencia!$C:X)-1)))," ")</f>
        <v xml:space="preserve"> </v>
      </c>
      <c r="Y39" s="40" t="str">
        <f>IFERROR((INDEX(referencia!$C7:$Z7,1,(MATCH(referencia!$A7,referencia!$C$1:$Z$1,0)+COLUMNS(referencia!$C:Y)-1)))," ")</f>
        <v xml:space="preserve"> </v>
      </c>
      <c r="Z39" s="40" t="str">
        <f>IFERROR((INDEX(referencia!$C7:$Z7,1,(MATCH(referencia!$A7,referencia!$C$1:$Z$1,0)+COLUMNS(referencia!$C:Z)-1)))," ")</f>
        <v xml:space="preserve"> </v>
      </c>
    </row>
    <row r="40" spans="1:26" x14ac:dyDescent="0.3">
      <c r="A40" s="39">
        <v>43647</v>
      </c>
      <c r="B40" s="9">
        <v>11</v>
      </c>
      <c r="C40" s="40">
        <f>IFERROR((INDEX(referencia!$C8:$Z8,1,(MATCH(referencia!$A8,referencia!$C$1:$Z$1,0)+COLUMNS(referencia!$C:C)-1)))," ")</f>
        <v>11</v>
      </c>
      <c r="D40" s="40">
        <f>IFERROR((INDEX(referencia!$C8:$Z8,1,(MATCH(referencia!$A8,referencia!$C$1:$Z$1,0)+COLUMNS(referencia!$C:D)-1)))," ")</f>
        <v>11</v>
      </c>
      <c r="E40" s="40">
        <f>IFERROR((INDEX(referencia!$C8:$Z8,1,(MATCH(referencia!$A8,referencia!$C$1:$Z$1,0)+COLUMNS(referencia!$C:E)-1)))," ")</f>
        <v>11</v>
      </c>
      <c r="F40" s="40">
        <f>IFERROR((INDEX(referencia!$C8:$Z8,1,(MATCH(referencia!$A8,referencia!$C$1:$Z$1,0)+COLUMNS(referencia!$C:F)-1)))," ")</f>
        <v>11</v>
      </c>
      <c r="G40" s="40">
        <f>IFERROR((INDEX(referencia!$C8:$Z8,1,(MATCH(referencia!$A8,referencia!$C$1:$Z$1,0)+COLUMNS(referencia!$C:G)-1)))," ")</f>
        <v>11</v>
      </c>
      <c r="H40" s="40">
        <f>IFERROR((INDEX(referencia!$C8:$Z8,1,(MATCH(referencia!$A8,referencia!$C$1:$Z$1,0)+COLUMNS(referencia!$C:H)-1)))," ")</f>
        <v>11</v>
      </c>
      <c r="I40" s="40">
        <f>IFERROR((INDEX(referencia!$C8:$Z8,1,(MATCH(referencia!$A8,referencia!$C$1:$Z$1,0)+COLUMNS(referencia!$C:I)-1)))," ")</f>
        <v>10</v>
      </c>
      <c r="J40" s="40">
        <f>IFERROR((INDEX(referencia!$C8:$Z8,1,(MATCH(referencia!$A8,referencia!$C$1:$Z$1,0)+COLUMNS(referencia!$C:J)-1)))," ")</f>
        <v>8</v>
      </c>
      <c r="K40" s="40">
        <f>IFERROR((INDEX(referencia!$C8:$Z8,1,(MATCH(referencia!$A8,referencia!$C$1:$Z$1,0)+COLUMNS(referencia!$C:K)-1)))," ")</f>
        <v>8</v>
      </c>
      <c r="L40" s="40">
        <f>IFERROR((INDEX(referencia!$C8:$Z8,1,(MATCH(referencia!$A8,referencia!$C$1:$Z$1,0)+COLUMNS(referencia!$C:L)-1)))," ")</f>
        <v>8</v>
      </c>
      <c r="M40" s="40">
        <f>IFERROR((INDEX(referencia!$C8:$Z8,1,(MATCH(referencia!$A8,referencia!$C$1:$Z$1,0)+COLUMNS(referencia!$C:M)-1)))," ")</f>
        <v>7</v>
      </c>
      <c r="N40" s="40">
        <f>IFERROR((INDEX(referencia!$C8:$Z8,1,(MATCH(referencia!$A8,referencia!$C$1:$Z$1,0)+COLUMNS(referencia!$C:N)-1)))," ")</f>
        <v>7</v>
      </c>
      <c r="O40" s="40">
        <f>IFERROR((INDEX(referencia!$C8:$Z8,1,(MATCH(referencia!$A8,referencia!$C$1:$Z$1,0)+COLUMNS(referencia!$C:O)-1)))," ")</f>
        <v>7</v>
      </c>
      <c r="P40" s="40">
        <f>IFERROR((INDEX(referencia!$C8:$Z8,1,(MATCH(referencia!$A8,referencia!$C$1:$Z$1,0)+COLUMNS(referencia!$C:P)-1)))," ")</f>
        <v>6</v>
      </c>
      <c r="Q40" s="40">
        <f>IFERROR((INDEX(referencia!$C8:$Z8,1,(MATCH(referencia!$A8,referencia!$C$1:$Z$1,0)+COLUMNS(referencia!$C:Q)-1)))," ")</f>
        <v>6</v>
      </c>
      <c r="R40" s="40">
        <f>IFERROR((INDEX(referencia!$C8:$Z8,1,(MATCH(referencia!$A8,referencia!$C$1:$Z$1,0)+COLUMNS(referencia!$C:R)-1)))," ")</f>
        <v>6</v>
      </c>
      <c r="S40" s="40">
        <f>IFERROR((INDEX(referencia!$C8:$Z8,1,(MATCH(referencia!$A8,referencia!$C$1:$Z$1,0)+COLUMNS(referencia!$C:S)-1)))," ")</f>
        <v>5</v>
      </c>
      <c r="T40" s="40">
        <f>IFERROR((INDEX(referencia!$C8:$Z8,1,(MATCH(referencia!$A8,referencia!$C$1:$Z$1,0)+COLUMNS(referencia!$C:T)-1)))," ")</f>
        <v>5</v>
      </c>
      <c r="U40" s="40" t="str">
        <f>IFERROR((INDEX(referencia!$C8:$Z8,1,(MATCH(referencia!$A8,referencia!$C$1:$Z$1,0)+COLUMNS(referencia!$C:U)-1)))," ")</f>
        <v xml:space="preserve"> </v>
      </c>
      <c r="V40" s="40" t="str">
        <f>IFERROR((INDEX(referencia!$C8:$Z8,1,(MATCH(referencia!$A8,referencia!$C$1:$Z$1,0)+COLUMNS(referencia!$C:V)-1)))," ")</f>
        <v xml:space="preserve"> </v>
      </c>
      <c r="W40" s="40" t="str">
        <f>IFERROR((INDEX(referencia!$C8:$Z8,1,(MATCH(referencia!$A8,referencia!$C$1:$Z$1,0)+COLUMNS(referencia!$C:W)-1)))," ")</f>
        <v xml:space="preserve"> </v>
      </c>
      <c r="X40" s="40" t="str">
        <f>IFERROR((INDEX(referencia!$C8:$Z8,1,(MATCH(referencia!$A8,referencia!$C$1:$Z$1,0)+COLUMNS(referencia!$C:X)-1)))," ")</f>
        <v xml:space="preserve"> </v>
      </c>
      <c r="Y40" s="40" t="str">
        <f>IFERROR((INDEX(referencia!$C8:$Z8,1,(MATCH(referencia!$A8,referencia!$C$1:$Z$1,0)+COLUMNS(referencia!$C:Y)-1)))," ")</f>
        <v xml:space="preserve"> </v>
      </c>
      <c r="Z40" s="40" t="str">
        <f>IFERROR((INDEX(referencia!$C8:$Z8,1,(MATCH(referencia!$A8,referencia!$C$1:$Z$1,0)+COLUMNS(referencia!$C:Z)-1)))," ")</f>
        <v xml:space="preserve"> </v>
      </c>
    </row>
    <row r="41" spans="1:26" x14ac:dyDescent="0.3">
      <c r="A41" s="39">
        <v>43678</v>
      </c>
      <c r="B41" s="9">
        <v>4</v>
      </c>
      <c r="C41" s="40">
        <f>IFERROR((INDEX(referencia!$C9:$Z9,1,(MATCH(referencia!$A9,referencia!$C$1:$Z$1,0)+COLUMNS(referencia!$C:C)-1)))," ")</f>
        <v>4</v>
      </c>
      <c r="D41" s="40">
        <f>IFERROR((INDEX(referencia!$C9:$Z9,1,(MATCH(referencia!$A9,referencia!$C$1:$Z$1,0)+COLUMNS(referencia!$C:D)-1)))," ")</f>
        <v>3</v>
      </c>
      <c r="E41" s="40">
        <f>IFERROR((INDEX(referencia!$C9:$Z9,1,(MATCH(referencia!$A9,referencia!$C$1:$Z$1,0)+COLUMNS(referencia!$C:E)-1)))," ")</f>
        <v>3</v>
      </c>
      <c r="F41" s="40">
        <f>IFERROR((INDEX(referencia!$C9:$Z9,1,(MATCH(referencia!$A9,referencia!$C$1:$Z$1,0)+COLUMNS(referencia!$C:F)-1)))," ")</f>
        <v>3</v>
      </c>
      <c r="G41" s="40">
        <f>IFERROR((INDEX(referencia!$C9:$Z9,1,(MATCH(referencia!$A9,referencia!$C$1:$Z$1,0)+COLUMNS(referencia!$C:G)-1)))," ")</f>
        <v>3</v>
      </c>
      <c r="H41" s="40">
        <f>IFERROR((INDEX(referencia!$C9:$Z9,1,(MATCH(referencia!$A9,referencia!$C$1:$Z$1,0)+COLUMNS(referencia!$C:H)-1)))," ")</f>
        <v>3</v>
      </c>
      <c r="I41" s="40">
        <f>IFERROR((INDEX(referencia!$C9:$Z9,1,(MATCH(referencia!$A9,referencia!$C$1:$Z$1,0)+COLUMNS(referencia!$C:I)-1)))," ")</f>
        <v>3</v>
      </c>
      <c r="J41" s="40">
        <f>IFERROR((INDEX(referencia!$C9:$Z9,1,(MATCH(referencia!$A9,referencia!$C$1:$Z$1,0)+COLUMNS(referencia!$C:J)-1)))," ")</f>
        <v>3</v>
      </c>
      <c r="K41" s="40">
        <f>IFERROR((INDEX(referencia!$C9:$Z9,1,(MATCH(referencia!$A9,referencia!$C$1:$Z$1,0)+COLUMNS(referencia!$C:K)-1)))," ")</f>
        <v>3</v>
      </c>
      <c r="L41" s="40">
        <f>IFERROR((INDEX(referencia!$C9:$Z9,1,(MATCH(referencia!$A9,referencia!$C$1:$Z$1,0)+COLUMNS(referencia!$C:L)-1)))," ")</f>
        <v>3</v>
      </c>
      <c r="M41" s="40">
        <f>IFERROR((INDEX(referencia!$C9:$Z9,1,(MATCH(referencia!$A9,referencia!$C$1:$Z$1,0)+COLUMNS(referencia!$C:M)-1)))," ")</f>
        <v>3</v>
      </c>
      <c r="N41" s="40">
        <f>IFERROR((INDEX(referencia!$C9:$Z9,1,(MATCH(referencia!$A9,referencia!$C$1:$Z$1,0)+COLUMNS(referencia!$C:N)-1)))," ")</f>
        <v>3</v>
      </c>
      <c r="O41" s="40">
        <f>IFERROR((INDEX(referencia!$C9:$Z9,1,(MATCH(referencia!$A9,referencia!$C$1:$Z$1,0)+COLUMNS(referencia!$C:O)-1)))," ")</f>
        <v>3</v>
      </c>
      <c r="P41" s="40">
        <f>IFERROR((INDEX(referencia!$C9:$Z9,1,(MATCH(referencia!$A9,referencia!$C$1:$Z$1,0)+COLUMNS(referencia!$C:P)-1)))," ")</f>
        <v>3</v>
      </c>
      <c r="Q41" s="40">
        <f>IFERROR((INDEX(referencia!$C9:$Z9,1,(MATCH(referencia!$A9,referencia!$C$1:$Z$1,0)+COLUMNS(referencia!$C:Q)-1)))," ")</f>
        <v>3</v>
      </c>
      <c r="R41" s="40">
        <f>IFERROR((INDEX(referencia!$C9:$Z9,1,(MATCH(referencia!$A9,referencia!$C$1:$Z$1,0)+COLUMNS(referencia!$C:R)-1)))," ")</f>
        <v>3</v>
      </c>
      <c r="S41" s="40">
        <f>IFERROR((INDEX(referencia!$C9:$Z9,1,(MATCH(referencia!$A9,referencia!$C$1:$Z$1,0)+COLUMNS(referencia!$C:S)-1)))," ")</f>
        <v>3</v>
      </c>
      <c r="T41" s="40" t="str">
        <f>IFERROR((INDEX(referencia!$C9:$Z9,1,(MATCH(referencia!$A9,referencia!$C$1:$Z$1,0)+COLUMNS(referencia!$C:T)-1)))," ")</f>
        <v xml:space="preserve"> </v>
      </c>
      <c r="U41" s="40" t="str">
        <f>IFERROR((INDEX(referencia!$C9:$Z9,1,(MATCH(referencia!$A9,referencia!$C$1:$Z$1,0)+COLUMNS(referencia!$C:U)-1)))," ")</f>
        <v xml:space="preserve"> </v>
      </c>
      <c r="V41" s="40" t="str">
        <f>IFERROR((INDEX(referencia!$C9:$Z9,1,(MATCH(referencia!$A9,referencia!$C$1:$Z$1,0)+COLUMNS(referencia!$C:V)-1)))," ")</f>
        <v xml:space="preserve"> </v>
      </c>
      <c r="W41" s="40" t="str">
        <f>IFERROR((INDEX(referencia!$C9:$Z9,1,(MATCH(referencia!$A9,referencia!$C$1:$Z$1,0)+COLUMNS(referencia!$C:W)-1)))," ")</f>
        <v xml:space="preserve"> </v>
      </c>
      <c r="X41" s="40" t="str">
        <f>IFERROR((INDEX(referencia!$C9:$Z9,1,(MATCH(referencia!$A9,referencia!$C$1:$Z$1,0)+COLUMNS(referencia!$C:X)-1)))," ")</f>
        <v xml:space="preserve"> </v>
      </c>
      <c r="Y41" s="40" t="str">
        <f>IFERROR((INDEX(referencia!$C9:$Z9,1,(MATCH(referencia!$A9,referencia!$C$1:$Z$1,0)+COLUMNS(referencia!$C:Y)-1)))," ")</f>
        <v xml:space="preserve"> </v>
      </c>
      <c r="Z41" s="40" t="str">
        <f>IFERROR((INDEX(referencia!$C9:$Z9,1,(MATCH(referencia!$A9,referencia!$C$1:$Z$1,0)+COLUMNS(referencia!$C:Z)-1)))," ")</f>
        <v xml:space="preserve"> </v>
      </c>
    </row>
    <row r="42" spans="1:26" x14ac:dyDescent="0.3">
      <c r="A42" s="39">
        <v>43709</v>
      </c>
      <c r="B42" s="9">
        <v>8</v>
      </c>
      <c r="C42" s="40">
        <f>IFERROR((INDEX(referencia!$C10:$Z10,1,(MATCH(referencia!$A10,referencia!$C$1:$Z$1,0)+COLUMNS(referencia!$C:C)-1)))," ")</f>
        <v>8</v>
      </c>
      <c r="D42" s="40">
        <f>IFERROR((INDEX(referencia!$C10:$Z10,1,(MATCH(referencia!$A10,referencia!$C$1:$Z$1,0)+COLUMNS(referencia!$C:D)-1)))," ")</f>
        <v>8</v>
      </c>
      <c r="E42" s="40">
        <f>IFERROR((INDEX(referencia!$C10:$Z10,1,(MATCH(referencia!$A10,referencia!$C$1:$Z$1,0)+COLUMNS(referencia!$C:E)-1)))," ")</f>
        <v>7</v>
      </c>
      <c r="F42" s="40">
        <f>IFERROR((INDEX(referencia!$C10:$Z10,1,(MATCH(referencia!$A10,referencia!$C$1:$Z$1,0)+COLUMNS(referencia!$C:F)-1)))," ")</f>
        <v>7</v>
      </c>
      <c r="G42" s="40">
        <f>IFERROR((INDEX(referencia!$C10:$Z10,1,(MATCH(referencia!$A10,referencia!$C$1:$Z$1,0)+COLUMNS(referencia!$C:G)-1)))," ")</f>
        <v>6</v>
      </c>
      <c r="H42" s="40">
        <f>IFERROR((INDEX(referencia!$C10:$Z10,1,(MATCH(referencia!$A10,referencia!$C$1:$Z$1,0)+COLUMNS(referencia!$C:H)-1)))," ")</f>
        <v>6</v>
      </c>
      <c r="I42" s="40">
        <f>IFERROR((INDEX(referencia!$C10:$Z10,1,(MATCH(referencia!$A10,referencia!$C$1:$Z$1,0)+COLUMNS(referencia!$C:I)-1)))," ")</f>
        <v>6</v>
      </c>
      <c r="J42" s="40">
        <f>IFERROR((INDEX(referencia!$C10:$Z10,1,(MATCH(referencia!$A10,referencia!$C$1:$Z$1,0)+COLUMNS(referencia!$C:J)-1)))," ")</f>
        <v>6</v>
      </c>
      <c r="K42" s="40">
        <f>IFERROR((INDEX(referencia!$C10:$Z10,1,(MATCH(referencia!$A10,referencia!$C$1:$Z$1,0)+COLUMNS(referencia!$C:K)-1)))," ")</f>
        <v>6</v>
      </c>
      <c r="L42" s="40">
        <f>IFERROR((INDEX(referencia!$C10:$Z10,1,(MATCH(referencia!$A10,referencia!$C$1:$Z$1,0)+COLUMNS(referencia!$C:L)-1)))," ")</f>
        <v>6</v>
      </c>
      <c r="M42" s="40">
        <f>IFERROR((INDEX(referencia!$C10:$Z10,1,(MATCH(referencia!$A10,referencia!$C$1:$Z$1,0)+COLUMNS(referencia!$C:M)-1)))," ")</f>
        <v>6</v>
      </c>
      <c r="N42" s="40">
        <f>IFERROR((INDEX(referencia!$C10:$Z10,1,(MATCH(referencia!$A10,referencia!$C$1:$Z$1,0)+COLUMNS(referencia!$C:N)-1)))," ")</f>
        <v>6</v>
      </c>
      <c r="O42" s="40">
        <f>IFERROR((INDEX(referencia!$C10:$Z10,1,(MATCH(referencia!$A10,referencia!$C$1:$Z$1,0)+COLUMNS(referencia!$C:O)-1)))," ")</f>
        <v>4</v>
      </c>
      <c r="P42" s="40">
        <f>IFERROR((INDEX(referencia!$C10:$Z10,1,(MATCH(referencia!$A10,referencia!$C$1:$Z$1,0)+COLUMNS(referencia!$C:P)-1)))," ")</f>
        <v>4</v>
      </c>
      <c r="Q42" s="40">
        <f>IFERROR((INDEX(referencia!$C10:$Z10,1,(MATCH(referencia!$A10,referencia!$C$1:$Z$1,0)+COLUMNS(referencia!$C:Q)-1)))," ")</f>
        <v>4</v>
      </c>
      <c r="R42" s="40">
        <f>IFERROR((INDEX(referencia!$C10:$Z10,1,(MATCH(referencia!$A10,referencia!$C$1:$Z$1,0)+COLUMNS(referencia!$C:R)-1)))," ")</f>
        <v>4</v>
      </c>
      <c r="S42" s="40" t="str">
        <f>IFERROR((INDEX(referencia!$C10:$Z10,1,(MATCH(referencia!$A10,referencia!$C$1:$Z$1,0)+COLUMNS(referencia!$C:S)-1)))," ")</f>
        <v xml:space="preserve"> </v>
      </c>
      <c r="T42" s="40" t="str">
        <f>IFERROR((INDEX(referencia!$C10:$Z10,1,(MATCH(referencia!$A10,referencia!$C$1:$Z$1,0)+COLUMNS(referencia!$C:T)-1)))," ")</f>
        <v xml:space="preserve"> </v>
      </c>
      <c r="U42" s="40" t="str">
        <f>IFERROR((INDEX(referencia!$C10:$Z10,1,(MATCH(referencia!$A10,referencia!$C$1:$Z$1,0)+COLUMNS(referencia!$C:U)-1)))," ")</f>
        <v xml:space="preserve"> </v>
      </c>
      <c r="V42" s="40" t="str">
        <f>IFERROR((INDEX(referencia!$C10:$Z10,1,(MATCH(referencia!$A10,referencia!$C$1:$Z$1,0)+COLUMNS(referencia!$C:V)-1)))," ")</f>
        <v xml:space="preserve"> </v>
      </c>
      <c r="W42" s="40" t="str">
        <f>IFERROR((INDEX(referencia!$C10:$Z10,1,(MATCH(referencia!$A10,referencia!$C$1:$Z$1,0)+COLUMNS(referencia!$C:W)-1)))," ")</f>
        <v xml:space="preserve"> </v>
      </c>
      <c r="X42" s="40" t="str">
        <f>IFERROR((INDEX(referencia!$C10:$Z10,1,(MATCH(referencia!$A10,referencia!$C$1:$Z$1,0)+COLUMNS(referencia!$C:X)-1)))," ")</f>
        <v xml:space="preserve"> </v>
      </c>
      <c r="Y42" s="40" t="str">
        <f>IFERROR((INDEX(referencia!$C10:$Z10,1,(MATCH(referencia!$A10,referencia!$C$1:$Z$1,0)+COLUMNS(referencia!$C:Y)-1)))," ")</f>
        <v xml:space="preserve"> </v>
      </c>
      <c r="Z42" s="40" t="str">
        <f>IFERROR((INDEX(referencia!$C10:$Z10,1,(MATCH(referencia!$A10,referencia!$C$1:$Z$1,0)+COLUMNS(referencia!$C:Z)-1)))," ")</f>
        <v xml:space="preserve"> </v>
      </c>
    </row>
    <row r="43" spans="1:26" x14ac:dyDescent="0.3">
      <c r="A43" s="39">
        <v>43739</v>
      </c>
      <c r="B43" s="9">
        <v>15</v>
      </c>
      <c r="C43" s="40">
        <f>IFERROR((INDEX(referencia!$C11:$Z11,1,(MATCH(referencia!$A11,referencia!$C$1:$Z$1,0)+COLUMNS(referencia!$C:C)-1)))," ")</f>
        <v>15</v>
      </c>
      <c r="D43" s="40">
        <f>IFERROR((INDEX(referencia!$C11:$Z11,1,(MATCH(referencia!$A11,referencia!$C$1:$Z$1,0)+COLUMNS(referencia!$C:D)-1)))," ")</f>
        <v>15</v>
      </c>
      <c r="E43" s="40">
        <f>IFERROR((INDEX(referencia!$C11:$Z11,1,(MATCH(referencia!$A11,referencia!$C$1:$Z$1,0)+COLUMNS(referencia!$C:E)-1)))," ")</f>
        <v>15</v>
      </c>
      <c r="F43" s="40">
        <f>IFERROR((INDEX(referencia!$C11:$Z11,1,(MATCH(referencia!$A11,referencia!$C$1:$Z$1,0)+COLUMNS(referencia!$C:F)-1)))," ")</f>
        <v>15</v>
      </c>
      <c r="G43" s="40">
        <f>IFERROR((INDEX(referencia!$C11:$Z11,1,(MATCH(referencia!$A11,referencia!$C$1:$Z$1,0)+COLUMNS(referencia!$C:G)-1)))," ")</f>
        <v>15</v>
      </c>
      <c r="H43" s="40">
        <f>IFERROR((INDEX(referencia!$C11:$Z11,1,(MATCH(referencia!$A11,referencia!$C$1:$Z$1,0)+COLUMNS(referencia!$C:H)-1)))," ")</f>
        <v>14</v>
      </c>
      <c r="I43" s="40">
        <f>IFERROR((INDEX(referencia!$C11:$Z11,1,(MATCH(referencia!$A11,referencia!$C$1:$Z$1,0)+COLUMNS(referencia!$C:I)-1)))," ")</f>
        <v>14</v>
      </c>
      <c r="J43" s="40">
        <f>IFERROR((INDEX(referencia!$C11:$Z11,1,(MATCH(referencia!$A11,referencia!$C$1:$Z$1,0)+COLUMNS(referencia!$C:J)-1)))," ")</f>
        <v>14</v>
      </c>
      <c r="K43" s="40">
        <f>IFERROR((INDEX(referencia!$C11:$Z11,1,(MATCH(referencia!$A11,referencia!$C$1:$Z$1,0)+COLUMNS(referencia!$C:K)-1)))," ")</f>
        <v>14</v>
      </c>
      <c r="L43" s="40">
        <f>IFERROR((INDEX(referencia!$C11:$Z11,1,(MATCH(referencia!$A11,referencia!$C$1:$Z$1,0)+COLUMNS(referencia!$C:L)-1)))," ")</f>
        <v>13</v>
      </c>
      <c r="M43" s="40">
        <f>IFERROR((INDEX(referencia!$C11:$Z11,1,(MATCH(referencia!$A11,referencia!$C$1:$Z$1,0)+COLUMNS(referencia!$C:M)-1)))," ")</f>
        <v>13</v>
      </c>
      <c r="N43" s="40">
        <f>IFERROR((INDEX(referencia!$C11:$Z11,1,(MATCH(referencia!$A11,referencia!$C$1:$Z$1,0)+COLUMNS(referencia!$C:N)-1)))," ")</f>
        <v>13</v>
      </c>
      <c r="O43" s="40">
        <f>IFERROR((INDEX(referencia!$C11:$Z11,1,(MATCH(referencia!$A11,referencia!$C$1:$Z$1,0)+COLUMNS(referencia!$C:O)-1)))," ")</f>
        <v>12</v>
      </c>
      <c r="P43" s="40">
        <f>IFERROR((INDEX(referencia!$C11:$Z11,1,(MATCH(referencia!$A11,referencia!$C$1:$Z$1,0)+COLUMNS(referencia!$C:P)-1)))," ")</f>
        <v>11</v>
      </c>
      <c r="Q43" s="40">
        <f>IFERROR((INDEX(referencia!$C11:$Z11,1,(MATCH(referencia!$A11,referencia!$C$1:$Z$1,0)+COLUMNS(referencia!$C:Q)-1)))," ")</f>
        <v>11</v>
      </c>
      <c r="R43" s="40" t="str">
        <f>IFERROR((INDEX(referencia!$C11:$Z11,1,(MATCH(referencia!$A11,referencia!$C$1:$Z$1,0)+COLUMNS(referencia!$C:R)-1)))," ")</f>
        <v xml:space="preserve"> </v>
      </c>
      <c r="S43" s="40" t="str">
        <f>IFERROR((INDEX(referencia!$C11:$Z11,1,(MATCH(referencia!$A11,referencia!$C$1:$Z$1,0)+COLUMNS(referencia!$C:S)-1)))," ")</f>
        <v xml:space="preserve"> </v>
      </c>
      <c r="T43" s="40" t="str">
        <f>IFERROR((INDEX(referencia!$C11:$Z11,1,(MATCH(referencia!$A11,referencia!$C$1:$Z$1,0)+COLUMNS(referencia!$C:T)-1)))," ")</f>
        <v xml:space="preserve"> </v>
      </c>
      <c r="U43" s="40" t="str">
        <f>IFERROR((INDEX(referencia!$C11:$Z11,1,(MATCH(referencia!$A11,referencia!$C$1:$Z$1,0)+COLUMNS(referencia!$C:U)-1)))," ")</f>
        <v xml:space="preserve"> </v>
      </c>
      <c r="V43" s="40" t="str">
        <f>IFERROR((INDEX(referencia!$C11:$Z11,1,(MATCH(referencia!$A11,referencia!$C$1:$Z$1,0)+COLUMNS(referencia!$C:V)-1)))," ")</f>
        <v xml:space="preserve"> </v>
      </c>
      <c r="W43" s="40" t="str">
        <f>IFERROR((INDEX(referencia!$C11:$Z11,1,(MATCH(referencia!$A11,referencia!$C$1:$Z$1,0)+COLUMNS(referencia!$C:W)-1)))," ")</f>
        <v xml:space="preserve"> </v>
      </c>
      <c r="X43" s="40" t="str">
        <f>IFERROR((INDEX(referencia!$C11:$Z11,1,(MATCH(referencia!$A11,referencia!$C$1:$Z$1,0)+COLUMNS(referencia!$C:X)-1)))," ")</f>
        <v xml:space="preserve"> </v>
      </c>
      <c r="Y43" s="40" t="str">
        <f>IFERROR((INDEX(referencia!$C11:$Z11,1,(MATCH(referencia!$A11,referencia!$C$1:$Z$1,0)+COLUMNS(referencia!$C:Y)-1)))," ")</f>
        <v xml:space="preserve"> </v>
      </c>
      <c r="Z43" s="40" t="str">
        <f>IFERROR((INDEX(referencia!$C11:$Z11,1,(MATCH(referencia!$A11,referencia!$C$1:$Z$1,0)+COLUMNS(referencia!$C:Z)-1)))," ")</f>
        <v xml:space="preserve"> </v>
      </c>
    </row>
    <row r="44" spans="1:26" x14ac:dyDescent="0.3">
      <c r="A44" s="39">
        <v>43770</v>
      </c>
      <c r="B44" s="9">
        <v>13</v>
      </c>
      <c r="C44" s="40">
        <f>IFERROR((INDEX(referencia!$C12:$Z12,1,(MATCH(referencia!$A12,referencia!$C$1:$Z$1,0)+COLUMNS(referencia!$C:C)-1)))," ")</f>
        <v>13</v>
      </c>
      <c r="D44" s="40">
        <f>IFERROR((INDEX(referencia!$C12:$Z12,1,(MATCH(referencia!$A12,referencia!$C$1:$Z$1,0)+COLUMNS(referencia!$C:D)-1)))," ")</f>
        <v>13</v>
      </c>
      <c r="E44" s="40">
        <f>IFERROR((INDEX(referencia!$C12:$Z12,1,(MATCH(referencia!$A12,referencia!$C$1:$Z$1,0)+COLUMNS(referencia!$C:E)-1)))," ")</f>
        <v>13</v>
      </c>
      <c r="F44" s="40">
        <f>IFERROR((INDEX(referencia!$C12:$Z12,1,(MATCH(referencia!$A12,referencia!$C$1:$Z$1,0)+COLUMNS(referencia!$C:F)-1)))," ")</f>
        <v>13</v>
      </c>
      <c r="G44" s="40">
        <f>IFERROR((INDEX(referencia!$C12:$Z12,1,(MATCH(referencia!$A12,referencia!$C$1:$Z$1,0)+COLUMNS(referencia!$C:G)-1)))," ")</f>
        <v>13</v>
      </c>
      <c r="H44" s="40">
        <f>IFERROR((INDEX(referencia!$C12:$Z12,1,(MATCH(referencia!$A12,referencia!$C$1:$Z$1,0)+COLUMNS(referencia!$C:H)-1)))," ")</f>
        <v>12</v>
      </c>
      <c r="I44" s="40">
        <f>IFERROR((INDEX(referencia!$C12:$Z12,1,(MATCH(referencia!$A12,referencia!$C$1:$Z$1,0)+COLUMNS(referencia!$C:I)-1)))," ")</f>
        <v>10</v>
      </c>
      <c r="J44" s="40">
        <f>IFERROR((INDEX(referencia!$C12:$Z12,1,(MATCH(referencia!$A12,referencia!$C$1:$Z$1,0)+COLUMNS(referencia!$C:J)-1)))," ")</f>
        <v>10</v>
      </c>
      <c r="K44" s="40">
        <f>IFERROR((INDEX(referencia!$C12:$Z12,1,(MATCH(referencia!$A12,referencia!$C$1:$Z$1,0)+COLUMNS(referencia!$C:K)-1)))," ")</f>
        <v>10</v>
      </c>
      <c r="L44" s="40">
        <f>IFERROR((INDEX(referencia!$C12:$Z12,1,(MATCH(referencia!$A12,referencia!$C$1:$Z$1,0)+COLUMNS(referencia!$C:L)-1)))," ")</f>
        <v>10</v>
      </c>
      <c r="M44" s="40">
        <f>IFERROR((INDEX(referencia!$C12:$Z12,1,(MATCH(referencia!$A12,referencia!$C$1:$Z$1,0)+COLUMNS(referencia!$C:M)-1)))," ")</f>
        <v>10</v>
      </c>
      <c r="N44" s="40">
        <f>IFERROR((INDEX(referencia!$C12:$Z12,1,(MATCH(referencia!$A12,referencia!$C$1:$Z$1,0)+COLUMNS(referencia!$C:N)-1)))," ")</f>
        <v>10</v>
      </c>
      <c r="O44" s="40">
        <f>IFERROR((INDEX(referencia!$C12:$Z12,1,(MATCH(referencia!$A12,referencia!$C$1:$Z$1,0)+COLUMNS(referencia!$C:O)-1)))," ")</f>
        <v>10</v>
      </c>
      <c r="P44" s="40">
        <f>IFERROR((INDEX(referencia!$C12:$Z12,1,(MATCH(referencia!$A12,referencia!$C$1:$Z$1,0)+COLUMNS(referencia!$C:P)-1)))," ")</f>
        <v>9</v>
      </c>
      <c r="Q44" s="40" t="str">
        <f>IFERROR((INDEX(referencia!$C12:$Z12,1,(MATCH(referencia!$A12,referencia!$C$1:$Z$1,0)+COLUMNS(referencia!$C:Q)-1)))," ")</f>
        <v xml:space="preserve"> </v>
      </c>
      <c r="R44" s="40" t="str">
        <f>IFERROR((INDEX(referencia!$C12:$Z12,1,(MATCH(referencia!$A12,referencia!$C$1:$Z$1,0)+COLUMNS(referencia!$C:R)-1)))," ")</f>
        <v xml:space="preserve"> </v>
      </c>
      <c r="S44" s="40" t="str">
        <f>IFERROR((INDEX(referencia!$C12:$Z12,1,(MATCH(referencia!$A12,referencia!$C$1:$Z$1,0)+COLUMNS(referencia!$C:S)-1)))," ")</f>
        <v xml:space="preserve"> </v>
      </c>
      <c r="T44" s="40" t="str">
        <f>IFERROR((INDEX(referencia!$C12:$Z12,1,(MATCH(referencia!$A12,referencia!$C$1:$Z$1,0)+COLUMNS(referencia!$C:T)-1)))," ")</f>
        <v xml:space="preserve"> </v>
      </c>
      <c r="U44" s="40" t="str">
        <f>IFERROR((INDEX(referencia!$C12:$Z12,1,(MATCH(referencia!$A12,referencia!$C$1:$Z$1,0)+COLUMNS(referencia!$C:U)-1)))," ")</f>
        <v xml:space="preserve"> </v>
      </c>
      <c r="V44" s="40" t="str">
        <f>IFERROR((INDEX(referencia!$C12:$Z12,1,(MATCH(referencia!$A12,referencia!$C$1:$Z$1,0)+COLUMNS(referencia!$C:V)-1)))," ")</f>
        <v xml:space="preserve"> </v>
      </c>
      <c r="W44" s="40" t="str">
        <f>IFERROR((INDEX(referencia!$C12:$Z12,1,(MATCH(referencia!$A12,referencia!$C$1:$Z$1,0)+COLUMNS(referencia!$C:W)-1)))," ")</f>
        <v xml:space="preserve"> </v>
      </c>
      <c r="X44" s="40" t="str">
        <f>IFERROR((INDEX(referencia!$C12:$Z12,1,(MATCH(referencia!$A12,referencia!$C$1:$Z$1,0)+COLUMNS(referencia!$C:X)-1)))," ")</f>
        <v xml:space="preserve"> </v>
      </c>
      <c r="Y44" s="40" t="str">
        <f>IFERROR((INDEX(referencia!$C12:$Z12,1,(MATCH(referencia!$A12,referencia!$C$1:$Z$1,0)+COLUMNS(referencia!$C:Y)-1)))," ")</f>
        <v xml:space="preserve"> </v>
      </c>
      <c r="Z44" s="40" t="str">
        <f>IFERROR((INDEX(referencia!$C12:$Z12,1,(MATCH(referencia!$A12,referencia!$C$1:$Z$1,0)+COLUMNS(referencia!$C:Z)-1)))," ")</f>
        <v xml:space="preserve"> </v>
      </c>
    </row>
    <row r="45" spans="1:26" x14ac:dyDescent="0.3">
      <c r="A45" s="39">
        <v>43800</v>
      </c>
      <c r="B45" s="9">
        <v>6</v>
      </c>
      <c r="C45" s="40">
        <f>IFERROR((INDEX(referencia!$C13:$Z13,1,(MATCH(referencia!$A13,referencia!$C$1:$Z$1,0)+COLUMNS(referencia!$C:C)-1)))," ")</f>
        <v>6</v>
      </c>
      <c r="D45" s="40">
        <f>IFERROR((INDEX(referencia!$C13:$Z13,1,(MATCH(referencia!$A13,referencia!$C$1:$Z$1,0)+COLUMNS(referencia!$C:D)-1)))," ")</f>
        <v>6</v>
      </c>
      <c r="E45" s="40">
        <f>IFERROR((INDEX(referencia!$C13:$Z13,1,(MATCH(referencia!$A13,referencia!$C$1:$Z$1,0)+COLUMNS(referencia!$C:E)-1)))," ")</f>
        <v>6</v>
      </c>
      <c r="F45" s="40">
        <f>IFERROR((INDEX(referencia!$C13:$Z13,1,(MATCH(referencia!$A13,referencia!$C$1:$Z$1,0)+COLUMNS(referencia!$C:F)-1)))," ")</f>
        <v>6</v>
      </c>
      <c r="G45" s="40">
        <f>IFERROR((INDEX(referencia!$C13:$Z13,1,(MATCH(referencia!$A13,referencia!$C$1:$Z$1,0)+COLUMNS(referencia!$C:G)-1)))," ")</f>
        <v>6</v>
      </c>
      <c r="H45" s="40">
        <f>IFERROR((INDEX(referencia!$C13:$Z13,1,(MATCH(referencia!$A13,referencia!$C$1:$Z$1,0)+COLUMNS(referencia!$C:H)-1)))," ")</f>
        <v>6</v>
      </c>
      <c r="I45" s="40">
        <f>IFERROR((INDEX(referencia!$C13:$Z13,1,(MATCH(referencia!$A13,referencia!$C$1:$Z$1,0)+COLUMNS(referencia!$C:I)-1)))," ")</f>
        <v>6</v>
      </c>
      <c r="J45" s="40">
        <f>IFERROR((INDEX(referencia!$C13:$Z13,1,(MATCH(referencia!$A13,referencia!$C$1:$Z$1,0)+COLUMNS(referencia!$C:J)-1)))," ")</f>
        <v>6</v>
      </c>
      <c r="K45" s="40">
        <f>IFERROR((INDEX(referencia!$C13:$Z13,1,(MATCH(referencia!$A13,referencia!$C$1:$Z$1,0)+COLUMNS(referencia!$C:K)-1)))," ")</f>
        <v>6</v>
      </c>
      <c r="L45" s="40">
        <f>IFERROR((INDEX(referencia!$C13:$Z13,1,(MATCH(referencia!$A13,referencia!$C$1:$Z$1,0)+COLUMNS(referencia!$C:L)-1)))," ")</f>
        <v>6</v>
      </c>
      <c r="M45" s="40">
        <f>IFERROR((INDEX(referencia!$C13:$Z13,1,(MATCH(referencia!$A13,referencia!$C$1:$Z$1,0)+COLUMNS(referencia!$C:M)-1)))," ")</f>
        <v>6</v>
      </c>
      <c r="N45" s="40">
        <f>IFERROR((INDEX(referencia!$C13:$Z13,1,(MATCH(referencia!$A13,referencia!$C$1:$Z$1,0)+COLUMNS(referencia!$C:N)-1)))," ")</f>
        <v>6</v>
      </c>
      <c r="O45" s="40">
        <f>IFERROR((INDEX(referencia!$C13:$Z13,1,(MATCH(referencia!$A13,referencia!$C$1:$Z$1,0)+COLUMNS(referencia!$C:O)-1)))," ")</f>
        <v>6</v>
      </c>
      <c r="P45" s="40" t="str">
        <f>IFERROR((INDEX(referencia!$C13:$Z13,1,(MATCH(referencia!$A13,referencia!$C$1:$Z$1,0)+COLUMNS(referencia!$C:P)-1)))," ")</f>
        <v xml:space="preserve"> </v>
      </c>
      <c r="Q45" s="40" t="str">
        <f>IFERROR((INDEX(referencia!$C13:$Z13,1,(MATCH(referencia!$A13,referencia!$C$1:$Z$1,0)+COLUMNS(referencia!$C:Q)-1)))," ")</f>
        <v xml:space="preserve"> </v>
      </c>
      <c r="R45" s="40" t="str">
        <f>IFERROR((INDEX(referencia!$C13:$Z13,1,(MATCH(referencia!$A13,referencia!$C$1:$Z$1,0)+COLUMNS(referencia!$C:R)-1)))," ")</f>
        <v xml:space="preserve"> </v>
      </c>
      <c r="S45" s="40" t="str">
        <f>IFERROR((INDEX(referencia!$C13:$Z13,1,(MATCH(referencia!$A13,referencia!$C$1:$Z$1,0)+COLUMNS(referencia!$C:S)-1)))," ")</f>
        <v xml:space="preserve"> </v>
      </c>
      <c r="T45" s="40" t="str">
        <f>IFERROR((INDEX(referencia!$C13:$Z13,1,(MATCH(referencia!$A13,referencia!$C$1:$Z$1,0)+COLUMNS(referencia!$C:T)-1)))," ")</f>
        <v xml:space="preserve"> </v>
      </c>
      <c r="U45" s="40" t="str">
        <f>IFERROR((INDEX(referencia!$C13:$Z13,1,(MATCH(referencia!$A13,referencia!$C$1:$Z$1,0)+COLUMNS(referencia!$C:U)-1)))," ")</f>
        <v xml:space="preserve"> </v>
      </c>
      <c r="V45" s="40" t="str">
        <f>IFERROR((INDEX(referencia!$C13:$Z13,1,(MATCH(referencia!$A13,referencia!$C$1:$Z$1,0)+COLUMNS(referencia!$C:V)-1)))," ")</f>
        <v xml:space="preserve"> </v>
      </c>
      <c r="W45" s="40" t="str">
        <f>IFERROR((INDEX(referencia!$C13:$Z13,1,(MATCH(referencia!$A13,referencia!$C$1:$Z$1,0)+COLUMNS(referencia!$C:W)-1)))," ")</f>
        <v xml:space="preserve"> </v>
      </c>
      <c r="X45" s="40" t="str">
        <f>IFERROR((INDEX(referencia!$C13:$Z13,1,(MATCH(referencia!$A13,referencia!$C$1:$Z$1,0)+COLUMNS(referencia!$C:X)-1)))," ")</f>
        <v xml:space="preserve"> </v>
      </c>
      <c r="Y45" s="40" t="str">
        <f>IFERROR((INDEX(referencia!$C13:$Z13,1,(MATCH(referencia!$A13,referencia!$C$1:$Z$1,0)+COLUMNS(referencia!$C:Y)-1)))," ")</f>
        <v xml:space="preserve"> </v>
      </c>
      <c r="Z45" s="40" t="str">
        <f>IFERROR((INDEX(referencia!$C13:$Z13,1,(MATCH(referencia!$A13,referencia!$C$1:$Z$1,0)+COLUMNS(referencia!$C:Z)-1)))," ")</f>
        <v xml:space="preserve"> </v>
      </c>
    </row>
    <row r="46" spans="1:26" x14ac:dyDescent="0.3">
      <c r="A46" s="39">
        <v>43831</v>
      </c>
      <c r="B46" s="9">
        <v>21</v>
      </c>
      <c r="C46" s="40">
        <f>IFERROR((INDEX(referencia!$C14:$Z14,1,(MATCH(referencia!$A14,referencia!$C$1:$Z$1,0)+COLUMNS(referencia!$C:C)-1)))," ")</f>
        <v>21</v>
      </c>
      <c r="D46" s="40">
        <f>IFERROR((INDEX(referencia!$C14:$Z14,1,(MATCH(referencia!$A14,referencia!$C$1:$Z$1,0)+COLUMNS(referencia!$C:D)-1)))," ")</f>
        <v>21</v>
      </c>
      <c r="E46" s="40">
        <f>IFERROR((INDEX(referencia!$C14:$Z14,1,(MATCH(referencia!$A14,referencia!$C$1:$Z$1,0)+COLUMNS(referencia!$C:E)-1)))," ")</f>
        <v>21</v>
      </c>
      <c r="F46" s="40">
        <f>IFERROR((INDEX(referencia!$C14:$Z14,1,(MATCH(referencia!$A14,referencia!$C$1:$Z$1,0)+COLUMNS(referencia!$C:F)-1)))," ")</f>
        <v>21</v>
      </c>
      <c r="G46" s="40">
        <f>IFERROR((INDEX(referencia!$C14:$Z14,1,(MATCH(referencia!$A14,referencia!$C$1:$Z$1,0)+COLUMNS(referencia!$C:G)-1)))," ")</f>
        <v>21</v>
      </c>
      <c r="H46" s="40">
        <f>IFERROR((INDEX(referencia!$C14:$Z14,1,(MATCH(referencia!$A14,referencia!$C$1:$Z$1,0)+COLUMNS(referencia!$C:H)-1)))," ")</f>
        <v>19</v>
      </c>
      <c r="I46" s="40">
        <f>IFERROR((INDEX(referencia!$C14:$Z14,1,(MATCH(referencia!$A14,referencia!$C$1:$Z$1,0)+COLUMNS(referencia!$C:I)-1)))," ")</f>
        <v>19</v>
      </c>
      <c r="J46" s="40">
        <f>IFERROR((INDEX(referencia!$C14:$Z14,1,(MATCH(referencia!$A14,referencia!$C$1:$Z$1,0)+COLUMNS(referencia!$C:J)-1)))," ")</f>
        <v>19</v>
      </c>
      <c r="K46" s="40">
        <f>IFERROR((INDEX(referencia!$C14:$Z14,1,(MATCH(referencia!$A14,referencia!$C$1:$Z$1,0)+COLUMNS(referencia!$C:K)-1)))," ")</f>
        <v>18</v>
      </c>
      <c r="L46" s="40">
        <f>IFERROR((INDEX(referencia!$C14:$Z14,1,(MATCH(referencia!$A14,referencia!$C$1:$Z$1,0)+COLUMNS(referencia!$C:L)-1)))," ")</f>
        <v>17</v>
      </c>
      <c r="M46" s="40">
        <f>IFERROR((INDEX(referencia!$C14:$Z14,1,(MATCH(referencia!$A14,referencia!$C$1:$Z$1,0)+COLUMNS(referencia!$C:M)-1)))," ")</f>
        <v>16</v>
      </c>
      <c r="N46" s="40">
        <f>IFERROR((INDEX(referencia!$C14:$Z14,1,(MATCH(referencia!$A14,referencia!$C$1:$Z$1,0)+COLUMNS(referencia!$C:N)-1)))," ")</f>
        <v>14</v>
      </c>
      <c r="O46" s="40" t="str">
        <f>IFERROR((INDEX(referencia!$C14:$Z14,1,(MATCH(referencia!$A14,referencia!$C$1:$Z$1,0)+COLUMNS(referencia!$C:O)-1)))," ")</f>
        <v xml:space="preserve"> </v>
      </c>
      <c r="P46" s="40" t="str">
        <f>IFERROR((INDEX(referencia!$C14:$Z14,1,(MATCH(referencia!$A14,referencia!$C$1:$Z$1,0)+COLUMNS(referencia!$C:P)-1)))," ")</f>
        <v xml:space="preserve"> </v>
      </c>
      <c r="Q46" s="40" t="str">
        <f>IFERROR((INDEX(referencia!$C14:$Z14,1,(MATCH(referencia!$A14,referencia!$C$1:$Z$1,0)+COLUMNS(referencia!$C:Q)-1)))," ")</f>
        <v xml:space="preserve"> </v>
      </c>
      <c r="R46" s="40" t="str">
        <f>IFERROR((INDEX(referencia!$C14:$Z14,1,(MATCH(referencia!$A14,referencia!$C$1:$Z$1,0)+COLUMNS(referencia!$C:R)-1)))," ")</f>
        <v xml:space="preserve"> </v>
      </c>
      <c r="S46" s="40" t="str">
        <f>IFERROR((INDEX(referencia!$C14:$Z14,1,(MATCH(referencia!$A14,referencia!$C$1:$Z$1,0)+COLUMNS(referencia!$C:S)-1)))," ")</f>
        <v xml:space="preserve"> </v>
      </c>
      <c r="T46" s="40" t="str">
        <f>IFERROR((INDEX(referencia!$C14:$Z14,1,(MATCH(referencia!$A14,referencia!$C$1:$Z$1,0)+COLUMNS(referencia!$C:T)-1)))," ")</f>
        <v xml:space="preserve"> </v>
      </c>
      <c r="U46" s="40" t="str">
        <f>IFERROR((INDEX(referencia!$C14:$Z14,1,(MATCH(referencia!$A14,referencia!$C$1:$Z$1,0)+COLUMNS(referencia!$C:U)-1)))," ")</f>
        <v xml:space="preserve"> </v>
      </c>
      <c r="V46" s="40" t="str">
        <f>IFERROR((INDEX(referencia!$C14:$Z14,1,(MATCH(referencia!$A14,referencia!$C$1:$Z$1,0)+COLUMNS(referencia!$C:V)-1)))," ")</f>
        <v xml:space="preserve"> </v>
      </c>
      <c r="W46" s="40" t="str">
        <f>IFERROR((INDEX(referencia!$C14:$Z14,1,(MATCH(referencia!$A14,referencia!$C$1:$Z$1,0)+COLUMNS(referencia!$C:W)-1)))," ")</f>
        <v xml:space="preserve"> </v>
      </c>
      <c r="X46" s="40" t="str">
        <f>IFERROR((INDEX(referencia!$C14:$Z14,1,(MATCH(referencia!$A14,referencia!$C$1:$Z$1,0)+COLUMNS(referencia!$C:X)-1)))," ")</f>
        <v xml:space="preserve"> </v>
      </c>
      <c r="Y46" s="40" t="str">
        <f>IFERROR((INDEX(referencia!$C14:$Z14,1,(MATCH(referencia!$A14,referencia!$C$1:$Z$1,0)+COLUMNS(referencia!$C:Y)-1)))," ")</f>
        <v xml:space="preserve"> </v>
      </c>
      <c r="Z46" s="40" t="str">
        <f>IFERROR((INDEX(referencia!$C14:$Z14,1,(MATCH(referencia!$A14,referencia!$C$1:$Z$1,0)+COLUMNS(referencia!$C:Z)-1)))," ")</f>
        <v xml:space="preserve"> </v>
      </c>
    </row>
    <row r="47" spans="1:26" x14ac:dyDescent="0.3">
      <c r="A47" s="39">
        <v>43862</v>
      </c>
      <c r="B47" s="9">
        <v>11</v>
      </c>
      <c r="C47" s="40">
        <f>IFERROR((INDEX(referencia!$C15:$Z15,1,(MATCH(referencia!$A15,referencia!$C$1:$Z$1,0)+COLUMNS(referencia!$C:C)-1)))," ")</f>
        <v>11</v>
      </c>
      <c r="D47" s="40">
        <f>IFERROR((INDEX(referencia!$C15:$Z15,1,(MATCH(referencia!$A15,referencia!$C$1:$Z$1,0)+COLUMNS(referencia!$C:D)-1)))," ")</f>
        <v>10</v>
      </c>
      <c r="E47" s="40">
        <f>IFERROR((INDEX(referencia!$C15:$Z15,1,(MATCH(referencia!$A15,referencia!$C$1:$Z$1,0)+COLUMNS(referencia!$C:E)-1)))," ")</f>
        <v>10</v>
      </c>
      <c r="F47" s="40">
        <f>IFERROR((INDEX(referencia!$C15:$Z15,1,(MATCH(referencia!$A15,referencia!$C$1:$Z$1,0)+COLUMNS(referencia!$C:F)-1)))," ")</f>
        <v>10</v>
      </c>
      <c r="G47" s="40">
        <f>IFERROR((INDEX(referencia!$C15:$Z15,1,(MATCH(referencia!$A15,referencia!$C$1:$Z$1,0)+COLUMNS(referencia!$C:G)-1)))," ")</f>
        <v>10</v>
      </c>
      <c r="H47" s="40">
        <f>IFERROR((INDEX(referencia!$C15:$Z15,1,(MATCH(referencia!$A15,referencia!$C$1:$Z$1,0)+COLUMNS(referencia!$C:H)-1)))," ")</f>
        <v>10</v>
      </c>
      <c r="I47" s="40">
        <f>IFERROR((INDEX(referencia!$C15:$Z15,1,(MATCH(referencia!$A15,referencia!$C$1:$Z$1,0)+COLUMNS(referencia!$C:I)-1)))," ")</f>
        <v>10</v>
      </c>
      <c r="J47" s="40">
        <f>IFERROR((INDEX(referencia!$C15:$Z15,1,(MATCH(referencia!$A15,referencia!$C$1:$Z$1,0)+COLUMNS(referencia!$C:J)-1)))," ")</f>
        <v>10</v>
      </c>
      <c r="K47" s="40">
        <f>IFERROR((INDEX(referencia!$C15:$Z15,1,(MATCH(referencia!$A15,referencia!$C$1:$Z$1,0)+COLUMNS(referencia!$C:K)-1)))," ")</f>
        <v>10</v>
      </c>
      <c r="L47" s="40">
        <f>IFERROR((INDEX(referencia!$C15:$Z15,1,(MATCH(referencia!$A15,referencia!$C$1:$Z$1,0)+COLUMNS(referencia!$C:L)-1)))," ")</f>
        <v>10</v>
      </c>
      <c r="M47" s="40">
        <f>IFERROR((INDEX(referencia!$C15:$Z15,1,(MATCH(referencia!$A15,referencia!$C$1:$Z$1,0)+COLUMNS(referencia!$C:M)-1)))," ")</f>
        <v>9</v>
      </c>
      <c r="N47" s="40" t="str">
        <f>IFERROR((INDEX(referencia!$C15:$Z15,1,(MATCH(referencia!$A15,referencia!$C$1:$Z$1,0)+COLUMNS(referencia!$C:N)-1)))," ")</f>
        <v xml:space="preserve"> </v>
      </c>
      <c r="O47" s="40" t="str">
        <f>IFERROR((INDEX(referencia!$C15:$Z15,1,(MATCH(referencia!$A15,referencia!$C$1:$Z$1,0)+COLUMNS(referencia!$C:O)-1)))," ")</f>
        <v xml:space="preserve"> </v>
      </c>
      <c r="P47" s="40" t="str">
        <f>IFERROR((INDEX(referencia!$C15:$Z15,1,(MATCH(referencia!$A15,referencia!$C$1:$Z$1,0)+COLUMNS(referencia!$C:P)-1)))," ")</f>
        <v xml:space="preserve"> </v>
      </c>
      <c r="Q47" s="40" t="str">
        <f>IFERROR((INDEX(referencia!$C15:$Z15,1,(MATCH(referencia!$A15,referencia!$C$1:$Z$1,0)+COLUMNS(referencia!$C:Q)-1)))," ")</f>
        <v xml:space="preserve"> </v>
      </c>
      <c r="R47" s="40" t="str">
        <f>IFERROR((INDEX(referencia!$C15:$Z15,1,(MATCH(referencia!$A15,referencia!$C$1:$Z$1,0)+COLUMNS(referencia!$C:R)-1)))," ")</f>
        <v xml:space="preserve"> </v>
      </c>
      <c r="S47" s="40" t="str">
        <f>IFERROR((INDEX(referencia!$C15:$Z15,1,(MATCH(referencia!$A15,referencia!$C$1:$Z$1,0)+COLUMNS(referencia!$C:S)-1)))," ")</f>
        <v xml:space="preserve"> </v>
      </c>
      <c r="T47" s="40" t="str">
        <f>IFERROR((INDEX(referencia!$C15:$Z15,1,(MATCH(referencia!$A15,referencia!$C$1:$Z$1,0)+COLUMNS(referencia!$C:T)-1)))," ")</f>
        <v xml:space="preserve"> </v>
      </c>
      <c r="U47" s="40" t="str">
        <f>IFERROR((INDEX(referencia!$C15:$Z15,1,(MATCH(referencia!$A15,referencia!$C$1:$Z$1,0)+COLUMNS(referencia!$C:U)-1)))," ")</f>
        <v xml:space="preserve"> </v>
      </c>
      <c r="V47" s="40" t="str">
        <f>IFERROR((INDEX(referencia!$C15:$Z15,1,(MATCH(referencia!$A15,referencia!$C$1:$Z$1,0)+COLUMNS(referencia!$C:V)-1)))," ")</f>
        <v xml:space="preserve"> </v>
      </c>
      <c r="W47" s="40" t="str">
        <f>IFERROR((INDEX(referencia!$C15:$Z15,1,(MATCH(referencia!$A15,referencia!$C$1:$Z$1,0)+COLUMNS(referencia!$C:W)-1)))," ")</f>
        <v xml:space="preserve"> </v>
      </c>
      <c r="X47" s="40" t="str">
        <f>IFERROR((INDEX(referencia!$C15:$Z15,1,(MATCH(referencia!$A15,referencia!$C$1:$Z$1,0)+COLUMNS(referencia!$C:X)-1)))," ")</f>
        <v xml:space="preserve"> </v>
      </c>
      <c r="Y47" s="40" t="str">
        <f>IFERROR((INDEX(referencia!$C15:$Z15,1,(MATCH(referencia!$A15,referencia!$C$1:$Z$1,0)+COLUMNS(referencia!$C:Y)-1)))," ")</f>
        <v xml:space="preserve"> </v>
      </c>
      <c r="Z47" s="40" t="str">
        <f>IFERROR((INDEX(referencia!$C15:$Z15,1,(MATCH(referencia!$A15,referencia!$C$1:$Z$1,0)+COLUMNS(referencia!$C:Z)-1)))," ")</f>
        <v xml:space="preserve"> </v>
      </c>
    </row>
    <row r="48" spans="1:26" x14ac:dyDescent="0.3">
      <c r="A48" s="39">
        <v>43891</v>
      </c>
      <c r="B48" s="9">
        <v>11</v>
      </c>
      <c r="C48" s="40">
        <f>IFERROR((INDEX(referencia!$C16:$Z16,1,(MATCH(referencia!$A16,referencia!$C$1:$Z$1,0)+COLUMNS(referencia!$C:C)-1)))," ")</f>
        <v>11</v>
      </c>
      <c r="D48" s="40">
        <f>IFERROR((INDEX(referencia!$C16:$Z16,1,(MATCH(referencia!$A16,referencia!$C$1:$Z$1,0)+COLUMNS(referencia!$C:D)-1)))," ")</f>
        <v>11</v>
      </c>
      <c r="E48" s="40">
        <f>IFERROR((INDEX(referencia!$C16:$Z16,1,(MATCH(referencia!$A16,referencia!$C$1:$Z$1,0)+COLUMNS(referencia!$C:E)-1)))," ")</f>
        <v>11</v>
      </c>
      <c r="F48" s="40">
        <f>IFERROR((INDEX(referencia!$C16:$Z16,1,(MATCH(referencia!$A16,referencia!$C$1:$Z$1,0)+COLUMNS(referencia!$C:F)-1)))," ")</f>
        <v>8</v>
      </c>
      <c r="G48" s="40">
        <f>IFERROR((INDEX(referencia!$C16:$Z16,1,(MATCH(referencia!$A16,referencia!$C$1:$Z$1,0)+COLUMNS(referencia!$C:G)-1)))," ")</f>
        <v>8</v>
      </c>
      <c r="H48" s="40">
        <f>IFERROR((INDEX(referencia!$C16:$Z16,1,(MATCH(referencia!$A16,referencia!$C$1:$Z$1,0)+COLUMNS(referencia!$C:H)-1)))," ")</f>
        <v>6</v>
      </c>
      <c r="I48" s="40">
        <f>IFERROR((INDEX(referencia!$C16:$Z16,1,(MATCH(referencia!$A16,referencia!$C$1:$Z$1,0)+COLUMNS(referencia!$C:I)-1)))," ")</f>
        <v>5</v>
      </c>
      <c r="J48" s="40">
        <f>IFERROR((INDEX(referencia!$C16:$Z16,1,(MATCH(referencia!$A16,referencia!$C$1:$Z$1,0)+COLUMNS(referencia!$C:J)-1)))," ")</f>
        <v>5</v>
      </c>
      <c r="K48" s="40">
        <f>IFERROR((INDEX(referencia!$C16:$Z16,1,(MATCH(referencia!$A16,referencia!$C$1:$Z$1,0)+COLUMNS(referencia!$C:K)-1)))," ")</f>
        <v>5</v>
      </c>
      <c r="L48" s="40">
        <f>IFERROR((INDEX(referencia!$C16:$Z16,1,(MATCH(referencia!$A16,referencia!$C$1:$Z$1,0)+COLUMNS(referencia!$C:L)-1)))," ")</f>
        <v>5</v>
      </c>
      <c r="M48" s="40" t="str">
        <f>IFERROR((INDEX(referencia!$C16:$Z16,1,(MATCH(referencia!$A16,referencia!$C$1:$Z$1,0)+COLUMNS(referencia!$C:M)-1)))," ")</f>
        <v xml:space="preserve"> </v>
      </c>
      <c r="N48" s="40" t="str">
        <f>IFERROR((INDEX(referencia!$C16:$Z16,1,(MATCH(referencia!$A16,referencia!$C$1:$Z$1,0)+COLUMNS(referencia!$C:N)-1)))," ")</f>
        <v xml:space="preserve"> </v>
      </c>
      <c r="O48" s="40" t="str">
        <f>IFERROR((INDEX(referencia!$C16:$Z16,1,(MATCH(referencia!$A16,referencia!$C$1:$Z$1,0)+COLUMNS(referencia!$C:O)-1)))," ")</f>
        <v xml:space="preserve"> </v>
      </c>
      <c r="P48" s="40" t="str">
        <f>IFERROR((INDEX(referencia!$C16:$Z16,1,(MATCH(referencia!$A16,referencia!$C$1:$Z$1,0)+COLUMNS(referencia!$C:P)-1)))," ")</f>
        <v xml:space="preserve"> </v>
      </c>
      <c r="Q48" s="40" t="str">
        <f>IFERROR((INDEX(referencia!$C16:$Z16,1,(MATCH(referencia!$A16,referencia!$C$1:$Z$1,0)+COLUMNS(referencia!$C:Q)-1)))," ")</f>
        <v xml:space="preserve"> </v>
      </c>
      <c r="R48" s="40" t="str">
        <f>IFERROR((INDEX(referencia!$C16:$Z16,1,(MATCH(referencia!$A16,referencia!$C$1:$Z$1,0)+COLUMNS(referencia!$C:R)-1)))," ")</f>
        <v xml:space="preserve"> </v>
      </c>
      <c r="S48" s="40" t="str">
        <f>IFERROR((INDEX(referencia!$C16:$Z16,1,(MATCH(referencia!$A16,referencia!$C$1:$Z$1,0)+COLUMNS(referencia!$C:S)-1)))," ")</f>
        <v xml:space="preserve"> </v>
      </c>
      <c r="T48" s="40" t="str">
        <f>IFERROR((INDEX(referencia!$C16:$Z16,1,(MATCH(referencia!$A16,referencia!$C$1:$Z$1,0)+COLUMNS(referencia!$C:T)-1)))," ")</f>
        <v xml:space="preserve"> </v>
      </c>
      <c r="U48" s="40" t="str">
        <f>IFERROR((INDEX(referencia!$C16:$Z16,1,(MATCH(referencia!$A16,referencia!$C$1:$Z$1,0)+COLUMNS(referencia!$C:U)-1)))," ")</f>
        <v xml:space="preserve"> </v>
      </c>
      <c r="V48" s="40" t="str">
        <f>IFERROR((INDEX(referencia!$C16:$Z16,1,(MATCH(referencia!$A16,referencia!$C$1:$Z$1,0)+COLUMNS(referencia!$C:V)-1)))," ")</f>
        <v xml:space="preserve"> </v>
      </c>
      <c r="W48" s="40" t="str">
        <f>IFERROR((INDEX(referencia!$C16:$Z16,1,(MATCH(referencia!$A16,referencia!$C$1:$Z$1,0)+COLUMNS(referencia!$C:W)-1)))," ")</f>
        <v xml:space="preserve"> </v>
      </c>
      <c r="X48" s="40" t="str">
        <f>IFERROR((INDEX(referencia!$C16:$Z16,1,(MATCH(referencia!$A16,referencia!$C$1:$Z$1,0)+COLUMNS(referencia!$C:X)-1)))," ")</f>
        <v xml:space="preserve"> </v>
      </c>
      <c r="Y48" s="40" t="str">
        <f>IFERROR((INDEX(referencia!$C16:$Z16,1,(MATCH(referencia!$A16,referencia!$C$1:$Z$1,0)+COLUMNS(referencia!$C:Y)-1)))," ")</f>
        <v xml:space="preserve"> </v>
      </c>
      <c r="Z48" s="40" t="str">
        <f>IFERROR((INDEX(referencia!$C16:$Z16,1,(MATCH(referencia!$A16,referencia!$C$1:$Z$1,0)+COLUMNS(referencia!$C:Z)-1)))," ")</f>
        <v xml:space="preserve"> </v>
      </c>
    </row>
    <row r="49" spans="1:26" x14ac:dyDescent="0.3">
      <c r="A49" s="39">
        <v>43922</v>
      </c>
      <c r="B49" s="9">
        <v>16</v>
      </c>
      <c r="C49" s="40">
        <f>IFERROR((INDEX(referencia!$C17:$Z17,1,(MATCH(referencia!$A17,referencia!$C$1:$Z$1,0)+COLUMNS(referencia!$C:C)-1)))," ")</f>
        <v>16</v>
      </c>
      <c r="D49" s="40">
        <f>IFERROR((INDEX(referencia!$C17:$Z17,1,(MATCH(referencia!$A17,referencia!$C$1:$Z$1,0)+COLUMNS(referencia!$C:D)-1)))," ")</f>
        <v>16</v>
      </c>
      <c r="E49" s="40">
        <f>IFERROR((INDEX(referencia!$C17:$Z17,1,(MATCH(referencia!$A17,referencia!$C$1:$Z$1,0)+COLUMNS(referencia!$C:E)-1)))," ")</f>
        <v>15</v>
      </c>
      <c r="F49" s="40">
        <f>IFERROR((INDEX(referencia!$C17:$Z17,1,(MATCH(referencia!$A17,referencia!$C$1:$Z$1,0)+COLUMNS(referencia!$C:F)-1)))," ")</f>
        <v>15</v>
      </c>
      <c r="G49" s="40">
        <f>IFERROR((INDEX(referencia!$C17:$Z17,1,(MATCH(referencia!$A17,referencia!$C$1:$Z$1,0)+COLUMNS(referencia!$C:G)-1)))," ")</f>
        <v>15</v>
      </c>
      <c r="H49" s="40">
        <f>IFERROR((INDEX(referencia!$C17:$Z17,1,(MATCH(referencia!$A17,referencia!$C$1:$Z$1,0)+COLUMNS(referencia!$C:H)-1)))," ")</f>
        <v>14</v>
      </c>
      <c r="I49" s="40">
        <f>IFERROR((INDEX(referencia!$C17:$Z17,1,(MATCH(referencia!$A17,referencia!$C$1:$Z$1,0)+COLUMNS(referencia!$C:I)-1)))," ")</f>
        <v>14</v>
      </c>
      <c r="J49" s="40">
        <f>IFERROR((INDEX(referencia!$C17:$Z17,1,(MATCH(referencia!$A17,referencia!$C$1:$Z$1,0)+COLUMNS(referencia!$C:J)-1)))," ")</f>
        <v>14</v>
      </c>
      <c r="K49" s="40">
        <f>IFERROR((INDEX(referencia!$C17:$Z17,1,(MATCH(referencia!$A17,referencia!$C$1:$Z$1,0)+COLUMNS(referencia!$C:K)-1)))," ")</f>
        <v>14</v>
      </c>
      <c r="L49" s="40" t="str">
        <f>IFERROR((INDEX(referencia!$C17:$Z17,1,(MATCH(referencia!$A17,referencia!$C$1:$Z$1,0)+COLUMNS(referencia!$C:L)-1)))," ")</f>
        <v xml:space="preserve"> </v>
      </c>
      <c r="M49" s="40" t="str">
        <f>IFERROR((INDEX(referencia!$C17:$Z17,1,(MATCH(referencia!$A17,referencia!$C$1:$Z$1,0)+COLUMNS(referencia!$C:M)-1)))," ")</f>
        <v xml:space="preserve"> </v>
      </c>
      <c r="N49" s="40" t="str">
        <f>IFERROR((INDEX(referencia!$C17:$Z17,1,(MATCH(referencia!$A17,referencia!$C$1:$Z$1,0)+COLUMNS(referencia!$C:N)-1)))," ")</f>
        <v xml:space="preserve"> </v>
      </c>
      <c r="O49" s="40" t="str">
        <f>IFERROR((INDEX(referencia!$C17:$Z17,1,(MATCH(referencia!$A17,referencia!$C$1:$Z$1,0)+COLUMNS(referencia!$C:O)-1)))," ")</f>
        <v xml:space="preserve"> </v>
      </c>
      <c r="P49" s="40" t="str">
        <f>IFERROR((INDEX(referencia!$C17:$Z17,1,(MATCH(referencia!$A17,referencia!$C$1:$Z$1,0)+COLUMNS(referencia!$C:P)-1)))," ")</f>
        <v xml:space="preserve"> </v>
      </c>
      <c r="Q49" s="40" t="str">
        <f>IFERROR((INDEX(referencia!$C17:$Z17,1,(MATCH(referencia!$A17,referencia!$C$1:$Z$1,0)+COLUMNS(referencia!$C:Q)-1)))," ")</f>
        <v xml:space="preserve"> </v>
      </c>
      <c r="R49" s="40" t="str">
        <f>IFERROR((INDEX(referencia!$C17:$Z17,1,(MATCH(referencia!$A17,referencia!$C$1:$Z$1,0)+COLUMNS(referencia!$C:R)-1)))," ")</f>
        <v xml:space="preserve"> </v>
      </c>
      <c r="S49" s="40" t="str">
        <f>IFERROR((INDEX(referencia!$C17:$Z17,1,(MATCH(referencia!$A17,referencia!$C$1:$Z$1,0)+COLUMNS(referencia!$C:S)-1)))," ")</f>
        <v xml:space="preserve"> </v>
      </c>
      <c r="T49" s="40" t="str">
        <f>IFERROR((INDEX(referencia!$C17:$Z17,1,(MATCH(referencia!$A17,referencia!$C$1:$Z$1,0)+COLUMNS(referencia!$C:T)-1)))," ")</f>
        <v xml:space="preserve"> </v>
      </c>
      <c r="U49" s="40" t="str">
        <f>IFERROR((INDEX(referencia!$C17:$Z17,1,(MATCH(referencia!$A17,referencia!$C$1:$Z$1,0)+COLUMNS(referencia!$C:U)-1)))," ")</f>
        <v xml:space="preserve"> </v>
      </c>
      <c r="V49" s="40" t="str">
        <f>IFERROR((INDEX(referencia!$C17:$Z17,1,(MATCH(referencia!$A17,referencia!$C$1:$Z$1,0)+COLUMNS(referencia!$C:V)-1)))," ")</f>
        <v xml:space="preserve"> </v>
      </c>
      <c r="W49" s="40" t="str">
        <f>IFERROR((INDEX(referencia!$C17:$Z17,1,(MATCH(referencia!$A17,referencia!$C$1:$Z$1,0)+COLUMNS(referencia!$C:W)-1)))," ")</f>
        <v xml:space="preserve"> </v>
      </c>
      <c r="X49" s="40" t="str">
        <f>IFERROR((INDEX(referencia!$C17:$Z17,1,(MATCH(referencia!$A17,referencia!$C$1:$Z$1,0)+COLUMNS(referencia!$C:X)-1)))," ")</f>
        <v xml:space="preserve"> </v>
      </c>
      <c r="Y49" s="40" t="str">
        <f>IFERROR((INDEX(referencia!$C17:$Z17,1,(MATCH(referencia!$A17,referencia!$C$1:$Z$1,0)+COLUMNS(referencia!$C:Y)-1)))," ")</f>
        <v xml:space="preserve"> </v>
      </c>
      <c r="Z49" s="40" t="str">
        <f>IFERROR((INDEX(referencia!$C17:$Z17,1,(MATCH(referencia!$A17,referencia!$C$1:$Z$1,0)+COLUMNS(referencia!$C:Z)-1)))," ")</f>
        <v xml:space="preserve"> </v>
      </c>
    </row>
    <row r="50" spans="1:26" x14ac:dyDescent="0.3">
      <c r="A50" s="39">
        <v>43952</v>
      </c>
      <c r="B50" s="9">
        <v>25</v>
      </c>
      <c r="C50" s="40">
        <f>IFERROR((INDEX(referencia!$C18:$Z18,1,(MATCH(referencia!$A18,referencia!$C$1:$Z$1,0)+COLUMNS(referencia!$C:C)-1)))," ")</f>
        <v>25</v>
      </c>
      <c r="D50" s="40">
        <f>IFERROR((INDEX(referencia!$C18:$Z18,1,(MATCH(referencia!$A18,referencia!$C$1:$Z$1,0)+COLUMNS(referencia!$C:D)-1)))," ")</f>
        <v>24</v>
      </c>
      <c r="E50" s="40">
        <f>IFERROR((INDEX(referencia!$C18:$Z18,1,(MATCH(referencia!$A18,referencia!$C$1:$Z$1,0)+COLUMNS(referencia!$C:E)-1)))," ")</f>
        <v>24</v>
      </c>
      <c r="F50" s="40">
        <f>IFERROR((INDEX(referencia!$C18:$Z18,1,(MATCH(referencia!$A18,referencia!$C$1:$Z$1,0)+COLUMNS(referencia!$C:F)-1)))," ")</f>
        <v>23</v>
      </c>
      <c r="G50" s="40">
        <f>IFERROR((INDEX(referencia!$C18:$Z18,1,(MATCH(referencia!$A18,referencia!$C$1:$Z$1,0)+COLUMNS(referencia!$C:G)-1)))," ")</f>
        <v>19</v>
      </c>
      <c r="H50" s="40">
        <f>IFERROR((INDEX(referencia!$C18:$Z18,1,(MATCH(referencia!$A18,referencia!$C$1:$Z$1,0)+COLUMNS(referencia!$C:H)-1)))," ")</f>
        <v>17</v>
      </c>
      <c r="I50" s="40">
        <f>IFERROR((INDEX(referencia!$C18:$Z18,1,(MATCH(referencia!$A18,referencia!$C$1:$Z$1,0)+COLUMNS(referencia!$C:I)-1)))," ")</f>
        <v>16</v>
      </c>
      <c r="J50" s="40">
        <f>IFERROR((INDEX(referencia!$C18:$Z18,1,(MATCH(referencia!$A18,referencia!$C$1:$Z$1,0)+COLUMNS(referencia!$C:J)-1)))," ")</f>
        <v>16</v>
      </c>
      <c r="K50" s="40" t="str">
        <f>IFERROR((INDEX(referencia!$C18:$Z18,1,(MATCH(referencia!$A18,referencia!$C$1:$Z$1,0)+COLUMNS(referencia!$C:K)-1)))," ")</f>
        <v xml:space="preserve"> </v>
      </c>
      <c r="L50" s="40" t="str">
        <f>IFERROR((INDEX(referencia!$C18:$Z18,1,(MATCH(referencia!$A18,referencia!$C$1:$Z$1,0)+COLUMNS(referencia!$C:L)-1)))," ")</f>
        <v xml:space="preserve"> </v>
      </c>
      <c r="M50" s="40" t="str">
        <f>IFERROR((INDEX(referencia!$C18:$Z18,1,(MATCH(referencia!$A18,referencia!$C$1:$Z$1,0)+COLUMNS(referencia!$C:M)-1)))," ")</f>
        <v xml:space="preserve"> </v>
      </c>
      <c r="N50" s="40" t="str">
        <f>IFERROR((INDEX(referencia!$C18:$Z18,1,(MATCH(referencia!$A18,referencia!$C$1:$Z$1,0)+COLUMNS(referencia!$C:N)-1)))," ")</f>
        <v xml:space="preserve"> </v>
      </c>
      <c r="O50" s="40" t="str">
        <f>IFERROR((INDEX(referencia!$C18:$Z18,1,(MATCH(referencia!$A18,referencia!$C$1:$Z$1,0)+COLUMNS(referencia!$C:O)-1)))," ")</f>
        <v xml:space="preserve"> </v>
      </c>
      <c r="P50" s="40" t="str">
        <f>IFERROR((INDEX(referencia!$C18:$Z18,1,(MATCH(referencia!$A18,referencia!$C$1:$Z$1,0)+COLUMNS(referencia!$C:P)-1)))," ")</f>
        <v xml:space="preserve"> </v>
      </c>
      <c r="Q50" s="40" t="str">
        <f>IFERROR((INDEX(referencia!$C18:$Z18,1,(MATCH(referencia!$A18,referencia!$C$1:$Z$1,0)+COLUMNS(referencia!$C:Q)-1)))," ")</f>
        <v xml:space="preserve"> </v>
      </c>
      <c r="R50" s="40" t="str">
        <f>IFERROR((INDEX(referencia!$C18:$Z18,1,(MATCH(referencia!$A18,referencia!$C$1:$Z$1,0)+COLUMNS(referencia!$C:R)-1)))," ")</f>
        <v xml:space="preserve"> </v>
      </c>
      <c r="S50" s="40" t="str">
        <f>IFERROR((INDEX(referencia!$C18:$Z18,1,(MATCH(referencia!$A18,referencia!$C$1:$Z$1,0)+COLUMNS(referencia!$C:S)-1)))," ")</f>
        <v xml:space="preserve"> </v>
      </c>
      <c r="T50" s="40" t="str">
        <f>IFERROR((INDEX(referencia!$C18:$Z18,1,(MATCH(referencia!$A18,referencia!$C$1:$Z$1,0)+COLUMNS(referencia!$C:T)-1)))," ")</f>
        <v xml:space="preserve"> </v>
      </c>
      <c r="U50" s="40" t="str">
        <f>IFERROR((INDEX(referencia!$C18:$Z18,1,(MATCH(referencia!$A18,referencia!$C$1:$Z$1,0)+COLUMNS(referencia!$C:U)-1)))," ")</f>
        <v xml:space="preserve"> </v>
      </c>
      <c r="V50" s="40" t="str">
        <f>IFERROR((INDEX(referencia!$C18:$Z18,1,(MATCH(referencia!$A18,referencia!$C$1:$Z$1,0)+COLUMNS(referencia!$C:V)-1)))," ")</f>
        <v xml:space="preserve"> </v>
      </c>
      <c r="W50" s="40" t="str">
        <f>IFERROR((INDEX(referencia!$C18:$Z18,1,(MATCH(referencia!$A18,referencia!$C$1:$Z$1,0)+COLUMNS(referencia!$C:W)-1)))," ")</f>
        <v xml:space="preserve"> </v>
      </c>
      <c r="X50" s="40" t="str">
        <f>IFERROR((INDEX(referencia!$C18:$Z18,1,(MATCH(referencia!$A18,referencia!$C$1:$Z$1,0)+COLUMNS(referencia!$C:X)-1)))," ")</f>
        <v xml:space="preserve"> </v>
      </c>
      <c r="Y50" s="40" t="str">
        <f>IFERROR((INDEX(referencia!$C18:$Z18,1,(MATCH(referencia!$A18,referencia!$C$1:$Z$1,0)+COLUMNS(referencia!$C:Y)-1)))," ")</f>
        <v xml:space="preserve"> </v>
      </c>
      <c r="Z50" s="40" t="str">
        <f>IFERROR((INDEX(referencia!$C18:$Z18,1,(MATCH(referencia!$A18,referencia!$C$1:$Z$1,0)+COLUMNS(referencia!$C:Z)-1)))," ")</f>
        <v xml:space="preserve"> </v>
      </c>
    </row>
    <row r="51" spans="1:26" x14ac:dyDescent="0.3">
      <c r="A51" s="39">
        <v>43983</v>
      </c>
      <c r="B51" s="9">
        <v>22</v>
      </c>
      <c r="C51" s="40">
        <f>IFERROR((INDEX(referencia!$C19:$Z19,1,(MATCH(referencia!$A19,referencia!$C$1:$Z$1,0)+COLUMNS(referencia!$C:C)-1)))," ")</f>
        <v>22</v>
      </c>
      <c r="D51" s="40">
        <f>IFERROR((INDEX(referencia!$C19:$Z19,1,(MATCH(referencia!$A19,referencia!$C$1:$Z$1,0)+COLUMNS(referencia!$C:D)-1)))," ")</f>
        <v>22</v>
      </c>
      <c r="E51" s="40">
        <f>IFERROR((INDEX(referencia!$C19:$Z19,1,(MATCH(referencia!$A19,referencia!$C$1:$Z$1,0)+COLUMNS(referencia!$C:E)-1)))," ")</f>
        <v>22</v>
      </c>
      <c r="F51" s="40">
        <f>IFERROR((INDEX(referencia!$C19:$Z19,1,(MATCH(referencia!$A19,referencia!$C$1:$Z$1,0)+COLUMNS(referencia!$C:F)-1)))," ")</f>
        <v>20</v>
      </c>
      <c r="G51" s="40">
        <f>IFERROR((INDEX(referencia!$C19:$Z19,1,(MATCH(referencia!$A19,referencia!$C$1:$Z$1,0)+COLUMNS(referencia!$C:G)-1)))," ")</f>
        <v>20</v>
      </c>
      <c r="H51" s="40">
        <f>IFERROR((INDEX(referencia!$C19:$Z19,1,(MATCH(referencia!$A19,referencia!$C$1:$Z$1,0)+COLUMNS(referencia!$C:H)-1)))," ")</f>
        <v>19</v>
      </c>
      <c r="I51" s="40">
        <f>IFERROR((INDEX(referencia!$C19:$Z19,1,(MATCH(referencia!$A19,referencia!$C$1:$Z$1,0)+COLUMNS(referencia!$C:I)-1)))," ")</f>
        <v>16</v>
      </c>
      <c r="J51" s="40" t="str">
        <f>IFERROR((INDEX(referencia!$C19:$Z19,1,(MATCH(referencia!$A19,referencia!$C$1:$Z$1,0)+COLUMNS(referencia!$C:J)-1)))," ")</f>
        <v xml:space="preserve"> </v>
      </c>
      <c r="K51" s="40" t="str">
        <f>IFERROR((INDEX(referencia!$C19:$Z19,1,(MATCH(referencia!$A19,referencia!$C$1:$Z$1,0)+COLUMNS(referencia!$C:K)-1)))," ")</f>
        <v xml:space="preserve"> </v>
      </c>
      <c r="L51" s="40" t="str">
        <f>IFERROR((INDEX(referencia!$C19:$Z19,1,(MATCH(referencia!$A19,referencia!$C$1:$Z$1,0)+COLUMNS(referencia!$C:L)-1)))," ")</f>
        <v xml:space="preserve"> </v>
      </c>
      <c r="M51" s="40" t="str">
        <f>IFERROR((INDEX(referencia!$C19:$Z19,1,(MATCH(referencia!$A19,referencia!$C$1:$Z$1,0)+COLUMNS(referencia!$C:M)-1)))," ")</f>
        <v xml:space="preserve"> </v>
      </c>
      <c r="N51" s="40" t="str">
        <f>IFERROR((INDEX(referencia!$C19:$Z19,1,(MATCH(referencia!$A19,referencia!$C$1:$Z$1,0)+COLUMNS(referencia!$C:N)-1)))," ")</f>
        <v xml:space="preserve"> </v>
      </c>
      <c r="O51" s="40" t="str">
        <f>IFERROR((INDEX(referencia!$C19:$Z19,1,(MATCH(referencia!$A19,referencia!$C$1:$Z$1,0)+COLUMNS(referencia!$C:O)-1)))," ")</f>
        <v xml:space="preserve"> </v>
      </c>
      <c r="P51" s="40" t="str">
        <f>IFERROR((INDEX(referencia!$C19:$Z19,1,(MATCH(referencia!$A19,referencia!$C$1:$Z$1,0)+COLUMNS(referencia!$C:P)-1)))," ")</f>
        <v xml:space="preserve"> </v>
      </c>
      <c r="Q51" s="40" t="str">
        <f>IFERROR((INDEX(referencia!$C19:$Z19,1,(MATCH(referencia!$A19,referencia!$C$1:$Z$1,0)+COLUMNS(referencia!$C:Q)-1)))," ")</f>
        <v xml:space="preserve"> </v>
      </c>
      <c r="R51" s="40" t="str">
        <f>IFERROR((INDEX(referencia!$C19:$Z19,1,(MATCH(referencia!$A19,referencia!$C$1:$Z$1,0)+COLUMNS(referencia!$C:R)-1)))," ")</f>
        <v xml:space="preserve"> </v>
      </c>
      <c r="S51" s="40" t="str">
        <f>IFERROR((INDEX(referencia!$C19:$Z19,1,(MATCH(referencia!$A19,referencia!$C$1:$Z$1,0)+COLUMNS(referencia!$C:S)-1)))," ")</f>
        <v xml:space="preserve"> </v>
      </c>
      <c r="T51" s="40" t="str">
        <f>IFERROR((INDEX(referencia!$C19:$Z19,1,(MATCH(referencia!$A19,referencia!$C$1:$Z$1,0)+COLUMNS(referencia!$C:T)-1)))," ")</f>
        <v xml:space="preserve"> </v>
      </c>
      <c r="U51" s="40" t="str">
        <f>IFERROR((INDEX(referencia!$C19:$Z19,1,(MATCH(referencia!$A19,referencia!$C$1:$Z$1,0)+COLUMNS(referencia!$C:U)-1)))," ")</f>
        <v xml:space="preserve"> </v>
      </c>
      <c r="V51" s="40" t="str">
        <f>IFERROR((INDEX(referencia!$C19:$Z19,1,(MATCH(referencia!$A19,referencia!$C$1:$Z$1,0)+COLUMNS(referencia!$C:V)-1)))," ")</f>
        <v xml:space="preserve"> </v>
      </c>
      <c r="W51" s="40" t="str">
        <f>IFERROR((INDEX(referencia!$C19:$Z19,1,(MATCH(referencia!$A19,referencia!$C$1:$Z$1,0)+COLUMNS(referencia!$C:W)-1)))," ")</f>
        <v xml:space="preserve"> </v>
      </c>
      <c r="X51" s="40" t="str">
        <f>IFERROR((INDEX(referencia!$C19:$Z19,1,(MATCH(referencia!$A19,referencia!$C$1:$Z$1,0)+COLUMNS(referencia!$C:X)-1)))," ")</f>
        <v xml:space="preserve"> </v>
      </c>
      <c r="Y51" s="40" t="str">
        <f>IFERROR((INDEX(referencia!$C19:$Z19,1,(MATCH(referencia!$A19,referencia!$C$1:$Z$1,0)+COLUMNS(referencia!$C:Y)-1)))," ")</f>
        <v xml:space="preserve"> </v>
      </c>
      <c r="Z51" s="40" t="str">
        <f>IFERROR((INDEX(referencia!$C19:$Z19,1,(MATCH(referencia!$A19,referencia!$C$1:$Z$1,0)+COLUMNS(referencia!$C:Z)-1)))," ")</f>
        <v xml:space="preserve"> </v>
      </c>
    </row>
    <row r="52" spans="1:26" x14ac:dyDescent="0.3">
      <c r="A52" s="39">
        <v>44013</v>
      </c>
      <c r="B52" s="9">
        <v>21</v>
      </c>
      <c r="C52" s="40">
        <f>IFERROR((INDEX(referencia!$C20:$Z20,1,(MATCH(referencia!$A20,referencia!$C$1:$Z$1,0)+COLUMNS(referencia!$C:C)-1)))," ")</f>
        <v>21</v>
      </c>
      <c r="D52" s="40">
        <f>IFERROR((INDEX(referencia!$C20:$Z20,1,(MATCH(referencia!$A20,referencia!$C$1:$Z$1,0)+COLUMNS(referencia!$C:D)-1)))," ")</f>
        <v>21</v>
      </c>
      <c r="E52" s="40">
        <f>IFERROR((INDEX(referencia!$C20:$Z20,1,(MATCH(referencia!$A20,referencia!$C$1:$Z$1,0)+COLUMNS(referencia!$C:E)-1)))," ")</f>
        <v>20</v>
      </c>
      <c r="F52" s="40">
        <f>IFERROR((INDEX(referencia!$C20:$Z20,1,(MATCH(referencia!$A20,referencia!$C$1:$Z$1,0)+COLUMNS(referencia!$C:F)-1)))," ")</f>
        <v>20</v>
      </c>
      <c r="G52" s="40">
        <f>IFERROR((INDEX(referencia!$C20:$Z20,1,(MATCH(referencia!$A20,referencia!$C$1:$Z$1,0)+COLUMNS(referencia!$C:G)-1)))," ")</f>
        <v>18</v>
      </c>
      <c r="H52" s="40">
        <f>IFERROR((INDEX(referencia!$C20:$Z20,1,(MATCH(referencia!$A20,referencia!$C$1:$Z$1,0)+COLUMNS(referencia!$C:H)-1)))," ")</f>
        <v>18</v>
      </c>
      <c r="I52" s="40" t="str">
        <f>IFERROR((INDEX(referencia!$C20:$Z20,1,(MATCH(referencia!$A20,referencia!$C$1:$Z$1,0)+COLUMNS(referencia!$C:I)-1)))," ")</f>
        <v xml:space="preserve"> </v>
      </c>
      <c r="J52" s="40" t="str">
        <f>IFERROR((INDEX(referencia!$C20:$Z20,1,(MATCH(referencia!$A20,referencia!$C$1:$Z$1,0)+COLUMNS(referencia!$C:J)-1)))," ")</f>
        <v xml:space="preserve"> </v>
      </c>
      <c r="K52" s="40" t="str">
        <f>IFERROR((INDEX(referencia!$C20:$Z20,1,(MATCH(referencia!$A20,referencia!$C$1:$Z$1,0)+COLUMNS(referencia!$C:K)-1)))," ")</f>
        <v xml:space="preserve"> </v>
      </c>
      <c r="L52" s="40" t="str">
        <f>IFERROR((INDEX(referencia!$C20:$Z20,1,(MATCH(referencia!$A20,referencia!$C$1:$Z$1,0)+COLUMNS(referencia!$C:L)-1)))," ")</f>
        <v xml:space="preserve"> </v>
      </c>
      <c r="M52" s="40" t="str">
        <f>IFERROR((INDEX(referencia!$C20:$Z20,1,(MATCH(referencia!$A20,referencia!$C$1:$Z$1,0)+COLUMNS(referencia!$C:M)-1)))," ")</f>
        <v xml:space="preserve"> </v>
      </c>
      <c r="N52" s="40" t="str">
        <f>IFERROR((INDEX(referencia!$C20:$Z20,1,(MATCH(referencia!$A20,referencia!$C$1:$Z$1,0)+COLUMNS(referencia!$C:N)-1)))," ")</f>
        <v xml:space="preserve"> </v>
      </c>
      <c r="O52" s="40" t="str">
        <f>IFERROR((INDEX(referencia!$C20:$Z20,1,(MATCH(referencia!$A20,referencia!$C$1:$Z$1,0)+COLUMNS(referencia!$C:O)-1)))," ")</f>
        <v xml:space="preserve"> </v>
      </c>
      <c r="P52" s="40" t="str">
        <f>IFERROR((INDEX(referencia!$C20:$Z20,1,(MATCH(referencia!$A20,referencia!$C$1:$Z$1,0)+COLUMNS(referencia!$C:P)-1)))," ")</f>
        <v xml:space="preserve"> </v>
      </c>
      <c r="Q52" s="40" t="str">
        <f>IFERROR((INDEX(referencia!$C20:$Z20,1,(MATCH(referencia!$A20,referencia!$C$1:$Z$1,0)+COLUMNS(referencia!$C:Q)-1)))," ")</f>
        <v xml:space="preserve"> </v>
      </c>
      <c r="R52" s="40" t="str">
        <f>IFERROR((INDEX(referencia!$C20:$Z20,1,(MATCH(referencia!$A20,referencia!$C$1:$Z$1,0)+COLUMNS(referencia!$C:R)-1)))," ")</f>
        <v xml:space="preserve"> </v>
      </c>
      <c r="S52" s="40" t="str">
        <f>IFERROR((INDEX(referencia!$C20:$Z20,1,(MATCH(referencia!$A20,referencia!$C$1:$Z$1,0)+COLUMNS(referencia!$C:S)-1)))," ")</f>
        <v xml:space="preserve"> </v>
      </c>
      <c r="T52" s="40" t="str">
        <f>IFERROR((INDEX(referencia!$C20:$Z20,1,(MATCH(referencia!$A20,referencia!$C$1:$Z$1,0)+COLUMNS(referencia!$C:T)-1)))," ")</f>
        <v xml:space="preserve"> </v>
      </c>
      <c r="U52" s="40" t="str">
        <f>IFERROR((INDEX(referencia!$C20:$Z20,1,(MATCH(referencia!$A20,referencia!$C$1:$Z$1,0)+COLUMNS(referencia!$C:U)-1)))," ")</f>
        <v xml:space="preserve"> </v>
      </c>
      <c r="V52" s="40" t="str">
        <f>IFERROR((INDEX(referencia!$C20:$Z20,1,(MATCH(referencia!$A20,referencia!$C$1:$Z$1,0)+COLUMNS(referencia!$C:V)-1)))," ")</f>
        <v xml:space="preserve"> </v>
      </c>
      <c r="W52" s="40" t="str">
        <f>IFERROR((INDEX(referencia!$C20:$Z20,1,(MATCH(referencia!$A20,referencia!$C$1:$Z$1,0)+COLUMNS(referencia!$C:W)-1)))," ")</f>
        <v xml:space="preserve"> </v>
      </c>
      <c r="X52" s="40" t="str">
        <f>IFERROR((INDEX(referencia!$C20:$Z20,1,(MATCH(referencia!$A20,referencia!$C$1:$Z$1,0)+COLUMNS(referencia!$C:X)-1)))," ")</f>
        <v xml:space="preserve"> </v>
      </c>
      <c r="Y52" s="40" t="str">
        <f>IFERROR((INDEX(referencia!$C20:$Z20,1,(MATCH(referencia!$A20,referencia!$C$1:$Z$1,0)+COLUMNS(referencia!$C:Y)-1)))," ")</f>
        <v xml:space="preserve"> </v>
      </c>
      <c r="Z52" s="40" t="str">
        <f>IFERROR((INDEX(referencia!$C20:$Z20,1,(MATCH(referencia!$A20,referencia!$C$1:$Z$1,0)+COLUMNS(referencia!$C:Z)-1)))," ")</f>
        <v xml:space="preserve"> </v>
      </c>
    </row>
    <row r="53" spans="1:26" x14ac:dyDescent="0.3">
      <c r="A53" s="39">
        <v>44044</v>
      </c>
      <c r="B53" s="9">
        <v>27</v>
      </c>
      <c r="C53" s="40">
        <f>IFERROR((INDEX(referencia!$C21:$Z21,1,(MATCH(referencia!$A21,referencia!$C$1:$Z$1,0)+COLUMNS(referencia!$C:C)-1)))," ")</f>
        <v>27</v>
      </c>
      <c r="D53" s="40">
        <f>IFERROR((INDEX(referencia!$C21:$Z21,1,(MATCH(referencia!$A21,referencia!$C$1:$Z$1,0)+COLUMNS(referencia!$C:D)-1)))," ")</f>
        <v>27</v>
      </c>
      <c r="E53" s="40">
        <f>IFERROR((INDEX(referencia!$C21:$Z21,1,(MATCH(referencia!$A21,referencia!$C$1:$Z$1,0)+COLUMNS(referencia!$C:E)-1)))," ")</f>
        <v>27</v>
      </c>
      <c r="F53" s="40">
        <f>IFERROR((INDEX(referencia!$C21:$Z21,1,(MATCH(referencia!$A21,referencia!$C$1:$Z$1,0)+COLUMNS(referencia!$C:F)-1)))," ")</f>
        <v>25</v>
      </c>
      <c r="G53" s="40">
        <f>IFERROR((INDEX(referencia!$C21:$Z21,1,(MATCH(referencia!$A21,referencia!$C$1:$Z$1,0)+COLUMNS(referencia!$C:G)-1)))," ")</f>
        <v>22</v>
      </c>
      <c r="H53" s="40" t="str">
        <f>IFERROR((INDEX(referencia!$C21:$Z21,1,(MATCH(referencia!$A21,referencia!$C$1:$Z$1,0)+COLUMNS(referencia!$C:H)-1)))," ")</f>
        <v xml:space="preserve"> </v>
      </c>
      <c r="I53" s="40" t="str">
        <f>IFERROR((INDEX(referencia!$C21:$Z21,1,(MATCH(referencia!$A21,referencia!$C$1:$Z$1,0)+COLUMNS(referencia!$C:I)-1)))," ")</f>
        <v xml:space="preserve"> </v>
      </c>
      <c r="J53" s="40" t="str">
        <f>IFERROR((INDEX(referencia!$C21:$Z21,1,(MATCH(referencia!$A21,referencia!$C$1:$Z$1,0)+COLUMNS(referencia!$C:J)-1)))," ")</f>
        <v xml:space="preserve"> </v>
      </c>
      <c r="K53" s="40" t="str">
        <f>IFERROR((INDEX(referencia!$C21:$Z21,1,(MATCH(referencia!$A21,referencia!$C$1:$Z$1,0)+COLUMNS(referencia!$C:K)-1)))," ")</f>
        <v xml:space="preserve"> </v>
      </c>
      <c r="L53" s="40" t="str">
        <f>IFERROR((INDEX(referencia!$C21:$Z21,1,(MATCH(referencia!$A21,referencia!$C$1:$Z$1,0)+COLUMNS(referencia!$C:L)-1)))," ")</f>
        <v xml:space="preserve"> </v>
      </c>
      <c r="M53" s="40" t="str">
        <f>IFERROR((INDEX(referencia!$C21:$Z21,1,(MATCH(referencia!$A21,referencia!$C$1:$Z$1,0)+COLUMNS(referencia!$C:M)-1)))," ")</f>
        <v xml:space="preserve"> </v>
      </c>
      <c r="N53" s="40" t="str">
        <f>IFERROR((INDEX(referencia!$C21:$Z21,1,(MATCH(referencia!$A21,referencia!$C$1:$Z$1,0)+COLUMNS(referencia!$C:N)-1)))," ")</f>
        <v xml:space="preserve"> </v>
      </c>
      <c r="O53" s="40" t="str">
        <f>IFERROR((INDEX(referencia!$C21:$Z21,1,(MATCH(referencia!$A21,referencia!$C$1:$Z$1,0)+COLUMNS(referencia!$C:O)-1)))," ")</f>
        <v xml:space="preserve"> </v>
      </c>
      <c r="P53" s="40" t="str">
        <f>IFERROR((INDEX(referencia!$C21:$Z21,1,(MATCH(referencia!$A21,referencia!$C$1:$Z$1,0)+COLUMNS(referencia!$C:P)-1)))," ")</f>
        <v xml:space="preserve"> </v>
      </c>
      <c r="Q53" s="40" t="str">
        <f>IFERROR((INDEX(referencia!$C21:$Z21,1,(MATCH(referencia!$A21,referencia!$C$1:$Z$1,0)+COLUMNS(referencia!$C:Q)-1)))," ")</f>
        <v xml:space="preserve"> </v>
      </c>
      <c r="R53" s="40" t="str">
        <f>IFERROR((INDEX(referencia!$C21:$Z21,1,(MATCH(referencia!$A21,referencia!$C$1:$Z$1,0)+COLUMNS(referencia!$C:R)-1)))," ")</f>
        <v xml:space="preserve"> </v>
      </c>
      <c r="S53" s="40" t="str">
        <f>IFERROR((INDEX(referencia!$C21:$Z21,1,(MATCH(referencia!$A21,referencia!$C$1:$Z$1,0)+COLUMNS(referencia!$C:S)-1)))," ")</f>
        <v xml:space="preserve"> </v>
      </c>
      <c r="T53" s="40" t="str">
        <f>IFERROR((INDEX(referencia!$C21:$Z21,1,(MATCH(referencia!$A21,referencia!$C$1:$Z$1,0)+COLUMNS(referencia!$C:T)-1)))," ")</f>
        <v xml:space="preserve"> </v>
      </c>
      <c r="U53" s="40" t="str">
        <f>IFERROR((INDEX(referencia!$C21:$Z21,1,(MATCH(referencia!$A21,referencia!$C$1:$Z$1,0)+COLUMNS(referencia!$C:U)-1)))," ")</f>
        <v xml:space="preserve"> </v>
      </c>
      <c r="V53" s="40" t="str">
        <f>IFERROR((INDEX(referencia!$C21:$Z21,1,(MATCH(referencia!$A21,referencia!$C$1:$Z$1,0)+COLUMNS(referencia!$C:V)-1)))," ")</f>
        <v xml:space="preserve"> </v>
      </c>
      <c r="W53" s="40" t="str">
        <f>IFERROR((INDEX(referencia!$C21:$Z21,1,(MATCH(referencia!$A21,referencia!$C$1:$Z$1,0)+COLUMNS(referencia!$C:W)-1)))," ")</f>
        <v xml:space="preserve"> </v>
      </c>
      <c r="X53" s="40" t="str">
        <f>IFERROR((INDEX(referencia!$C21:$Z21,1,(MATCH(referencia!$A21,referencia!$C$1:$Z$1,0)+COLUMNS(referencia!$C:X)-1)))," ")</f>
        <v xml:space="preserve"> </v>
      </c>
      <c r="Y53" s="40" t="str">
        <f>IFERROR((INDEX(referencia!$C21:$Z21,1,(MATCH(referencia!$A21,referencia!$C$1:$Z$1,0)+COLUMNS(referencia!$C:Y)-1)))," ")</f>
        <v xml:space="preserve"> </v>
      </c>
      <c r="Z53" s="40" t="str">
        <f>IFERROR((INDEX(referencia!$C21:$Z21,1,(MATCH(referencia!$A21,referencia!$C$1:$Z$1,0)+COLUMNS(referencia!$C:Z)-1)))," ")</f>
        <v xml:space="preserve"> </v>
      </c>
    </row>
    <row r="54" spans="1:26" x14ac:dyDescent="0.3">
      <c r="A54" s="39">
        <v>44075</v>
      </c>
      <c r="B54" s="9">
        <v>5</v>
      </c>
      <c r="C54" s="40">
        <f>IFERROR((INDEX(referencia!$C22:$Z22,1,(MATCH(referencia!$A22,referencia!$C$1:$Z$1,0)+COLUMNS(referencia!$C:C)-1)))," ")</f>
        <v>5</v>
      </c>
      <c r="D54" s="40">
        <f>IFERROR((INDEX(referencia!$C22:$Z22,1,(MATCH(referencia!$A22,referencia!$C$1:$Z$1,0)+COLUMNS(referencia!$C:D)-1)))," ")</f>
        <v>5</v>
      </c>
      <c r="E54" s="40">
        <f>IFERROR((INDEX(referencia!$C22:$Z22,1,(MATCH(referencia!$A22,referencia!$C$1:$Z$1,0)+COLUMNS(referencia!$C:E)-1)))," ")</f>
        <v>5</v>
      </c>
      <c r="F54" s="40">
        <f>IFERROR((INDEX(referencia!$C22:$Z22,1,(MATCH(referencia!$A22,referencia!$C$1:$Z$1,0)+COLUMNS(referencia!$C:F)-1)))," ")</f>
        <v>5</v>
      </c>
      <c r="G54" s="40" t="str">
        <f>IFERROR((INDEX(referencia!$C22:$Z22,1,(MATCH(referencia!$A22,referencia!$C$1:$Z$1,0)+COLUMNS(referencia!$C:G)-1)))," ")</f>
        <v xml:space="preserve"> </v>
      </c>
      <c r="H54" s="40" t="str">
        <f>IFERROR((INDEX(referencia!$C22:$Z22,1,(MATCH(referencia!$A22,referencia!$C$1:$Z$1,0)+COLUMNS(referencia!$C:H)-1)))," ")</f>
        <v xml:space="preserve"> </v>
      </c>
      <c r="I54" s="40" t="str">
        <f>IFERROR((INDEX(referencia!$C22:$Z22,1,(MATCH(referencia!$A22,referencia!$C$1:$Z$1,0)+COLUMNS(referencia!$C:I)-1)))," ")</f>
        <v xml:space="preserve"> </v>
      </c>
      <c r="J54" s="40" t="str">
        <f>IFERROR((INDEX(referencia!$C22:$Z22,1,(MATCH(referencia!$A22,referencia!$C$1:$Z$1,0)+COLUMNS(referencia!$C:J)-1)))," ")</f>
        <v xml:space="preserve"> </v>
      </c>
      <c r="K54" s="40" t="str">
        <f>IFERROR((INDEX(referencia!$C22:$Z22,1,(MATCH(referencia!$A22,referencia!$C$1:$Z$1,0)+COLUMNS(referencia!$C:K)-1)))," ")</f>
        <v xml:space="preserve"> </v>
      </c>
      <c r="L54" s="40" t="str">
        <f>IFERROR((INDEX(referencia!$C22:$Z22,1,(MATCH(referencia!$A22,referencia!$C$1:$Z$1,0)+COLUMNS(referencia!$C:L)-1)))," ")</f>
        <v xml:space="preserve"> </v>
      </c>
      <c r="M54" s="40" t="str">
        <f>IFERROR((INDEX(referencia!$C22:$Z22,1,(MATCH(referencia!$A22,referencia!$C$1:$Z$1,0)+COLUMNS(referencia!$C:M)-1)))," ")</f>
        <v xml:space="preserve"> </v>
      </c>
      <c r="N54" s="40" t="str">
        <f>IFERROR((INDEX(referencia!$C22:$Z22,1,(MATCH(referencia!$A22,referencia!$C$1:$Z$1,0)+COLUMNS(referencia!$C:N)-1)))," ")</f>
        <v xml:space="preserve"> </v>
      </c>
      <c r="O54" s="40" t="str">
        <f>IFERROR((INDEX(referencia!$C22:$Z22,1,(MATCH(referencia!$A22,referencia!$C$1:$Z$1,0)+COLUMNS(referencia!$C:O)-1)))," ")</f>
        <v xml:space="preserve"> </v>
      </c>
      <c r="P54" s="40" t="str">
        <f>IFERROR((INDEX(referencia!$C22:$Z22,1,(MATCH(referencia!$A22,referencia!$C$1:$Z$1,0)+COLUMNS(referencia!$C:P)-1)))," ")</f>
        <v xml:space="preserve"> </v>
      </c>
      <c r="Q54" s="40" t="str">
        <f>IFERROR((INDEX(referencia!$C22:$Z22,1,(MATCH(referencia!$A22,referencia!$C$1:$Z$1,0)+COLUMNS(referencia!$C:Q)-1)))," ")</f>
        <v xml:space="preserve"> </v>
      </c>
      <c r="R54" s="40" t="str">
        <f>IFERROR((INDEX(referencia!$C22:$Z22,1,(MATCH(referencia!$A22,referencia!$C$1:$Z$1,0)+COLUMNS(referencia!$C:R)-1)))," ")</f>
        <v xml:space="preserve"> </v>
      </c>
      <c r="S54" s="40" t="str">
        <f>IFERROR((INDEX(referencia!$C22:$Z22,1,(MATCH(referencia!$A22,referencia!$C$1:$Z$1,0)+COLUMNS(referencia!$C:S)-1)))," ")</f>
        <v xml:space="preserve"> </v>
      </c>
      <c r="T54" s="40" t="str">
        <f>IFERROR((INDEX(referencia!$C22:$Z22,1,(MATCH(referencia!$A22,referencia!$C$1:$Z$1,0)+COLUMNS(referencia!$C:T)-1)))," ")</f>
        <v xml:space="preserve"> </v>
      </c>
      <c r="U54" s="40" t="str">
        <f>IFERROR((INDEX(referencia!$C22:$Z22,1,(MATCH(referencia!$A22,referencia!$C$1:$Z$1,0)+COLUMNS(referencia!$C:U)-1)))," ")</f>
        <v xml:space="preserve"> </v>
      </c>
      <c r="V54" s="40" t="str">
        <f>IFERROR((INDEX(referencia!$C22:$Z22,1,(MATCH(referencia!$A22,referencia!$C$1:$Z$1,0)+COLUMNS(referencia!$C:V)-1)))," ")</f>
        <v xml:space="preserve"> </v>
      </c>
      <c r="W54" s="40" t="str">
        <f>IFERROR((INDEX(referencia!$C22:$Z22,1,(MATCH(referencia!$A22,referencia!$C$1:$Z$1,0)+COLUMNS(referencia!$C:W)-1)))," ")</f>
        <v xml:space="preserve"> </v>
      </c>
      <c r="X54" s="40" t="str">
        <f>IFERROR((INDEX(referencia!$C22:$Z22,1,(MATCH(referencia!$A22,referencia!$C$1:$Z$1,0)+COLUMNS(referencia!$C:X)-1)))," ")</f>
        <v xml:space="preserve"> </v>
      </c>
      <c r="Y54" s="40" t="str">
        <f>IFERROR((INDEX(referencia!$C22:$Z22,1,(MATCH(referencia!$A22,referencia!$C$1:$Z$1,0)+COLUMNS(referencia!$C:Y)-1)))," ")</f>
        <v xml:space="preserve"> </v>
      </c>
      <c r="Z54" s="40" t="str">
        <f>IFERROR((INDEX(referencia!$C22:$Z22,1,(MATCH(referencia!$A22,referencia!$C$1:$Z$1,0)+COLUMNS(referencia!$C:Z)-1)))," ")</f>
        <v xml:space="preserve"> </v>
      </c>
    </row>
    <row r="55" spans="1:26" x14ac:dyDescent="0.3">
      <c r="A55" s="39">
        <v>44105</v>
      </c>
      <c r="B55" s="9">
        <v>12</v>
      </c>
      <c r="C55" s="40">
        <f>IFERROR((INDEX(referencia!$C23:$Z23,1,(MATCH(referencia!$A23,referencia!$C$1:$Z$1,0)+COLUMNS(referencia!$C:C)-1)))," ")</f>
        <v>12</v>
      </c>
      <c r="D55" s="40">
        <f>IFERROR((INDEX(referencia!$C23:$Z23,1,(MATCH(referencia!$A23,referencia!$C$1:$Z$1,0)+COLUMNS(referencia!$C:D)-1)))," ")</f>
        <v>12</v>
      </c>
      <c r="E55" s="40">
        <f>IFERROR((INDEX(referencia!$C23:$Z23,1,(MATCH(referencia!$A23,referencia!$C$1:$Z$1,0)+COLUMNS(referencia!$C:E)-1)))," ")</f>
        <v>12</v>
      </c>
      <c r="F55" s="40" t="str">
        <f>IFERROR((INDEX(referencia!$C23:$Z23,1,(MATCH(referencia!$A23,referencia!$C$1:$Z$1,0)+COLUMNS(referencia!$C:F)-1)))," ")</f>
        <v xml:space="preserve"> </v>
      </c>
      <c r="G55" s="40" t="str">
        <f>IFERROR((INDEX(referencia!$C23:$Z23,1,(MATCH(referencia!$A23,referencia!$C$1:$Z$1,0)+COLUMNS(referencia!$C:G)-1)))," ")</f>
        <v xml:space="preserve"> </v>
      </c>
      <c r="H55" s="40" t="str">
        <f>IFERROR((INDEX(referencia!$C23:$Z23,1,(MATCH(referencia!$A23,referencia!$C$1:$Z$1,0)+COLUMNS(referencia!$C:H)-1)))," ")</f>
        <v xml:space="preserve"> </v>
      </c>
      <c r="I55" s="40" t="str">
        <f>IFERROR((INDEX(referencia!$C23:$Z23,1,(MATCH(referencia!$A23,referencia!$C$1:$Z$1,0)+COLUMNS(referencia!$C:I)-1)))," ")</f>
        <v xml:space="preserve"> </v>
      </c>
      <c r="J55" s="40" t="str">
        <f>IFERROR((INDEX(referencia!$C23:$Z23,1,(MATCH(referencia!$A23,referencia!$C$1:$Z$1,0)+COLUMNS(referencia!$C:J)-1)))," ")</f>
        <v xml:space="preserve"> </v>
      </c>
      <c r="K55" s="40" t="str">
        <f>IFERROR((INDEX(referencia!$C23:$Z23,1,(MATCH(referencia!$A23,referencia!$C$1:$Z$1,0)+COLUMNS(referencia!$C:K)-1)))," ")</f>
        <v xml:space="preserve"> </v>
      </c>
      <c r="L55" s="40" t="str">
        <f>IFERROR((INDEX(referencia!$C23:$Z23,1,(MATCH(referencia!$A23,referencia!$C$1:$Z$1,0)+COLUMNS(referencia!$C:L)-1)))," ")</f>
        <v xml:space="preserve"> </v>
      </c>
      <c r="M55" s="40" t="str">
        <f>IFERROR((INDEX(referencia!$C23:$Z23,1,(MATCH(referencia!$A23,referencia!$C$1:$Z$1,0)+COLUMNS(referencia!$C:M)-1)))," ")</f>
        <v xml:space="preserve"> </v>
      </c>
      <c r="N55" s="40" t="str">
        <f>IFERROR((INDEX(referencia!$C23:$Z23,1,(MATCH(referencia!$A23,referencia!$C$1:$Z$1,0)+COLUMNS(referencia!$C:N)-1)))," ")</f>
        <v xml:space="preserve"> </v>
      </c>
      <c r="O55" s="40" t="str">
        <f>IFERROR((INDEX(referencia!$C23:$Z23,1,(MATCH(referencia!$A23,referencia!$C$1:$Z$1,0)+COLUMNS(referencia!$C:O)-1)))," ")</f>
        <v xml:space="preserve"> </v>
      </c>
      <c r="P55" s="40" t="str">
        <f>IFERROR((INDEX(referencia!$C23:$Z23,1,(MATCH(referencia!$A23,referencia!$C$1:$Z$1,0)+COLUMNS(referencia!$C:P)-1)))," ")</f>
        <v xml:space="preserve"> </v>
      </c>
      <c r="Q55" s="40" t="str">
        <f>IFERROR((INDEX(referencia!$C23:$Z23,1,(MATCH(referencia!$A23,referencia!$C$1:$Z$1,0)+COLUMNS(referencia!$C:Q)-1)))," ")</f>
        <v xml:space="preserve"> </v>
      </c>
      <c r="R55" s="40" t="str">
        <f>IFERROR((INDEX(referencia!$C23:$Z23,1,(MATCH(referencia!$A23,referencia!$C$1:$Z$1,0)+COLUMNS(referencia!$C:R)-1)))," ")</f>
        <v xml:space="preserve"> </v>
      </c>
      <c r="S55" s="40" t="str">
        <f>IFERROR((INDEX(referencia!$C23:$Z23,1,(MATCH(referencia!$A23,referencia!$C$1:$Z$1,0)+COLUMNS(referencia!$C:S)-1)))," ")</f>
        <v xml:space="preserve"> </v>
      </c>
      <c r="T55" s="40" t="str">
        <f>IFERROR((INDEX(referencia!$C23:$Z23,1,(MATCH(referencia!$A23,referencia!$C$1:$Z$1,0)+COLUMNS(referencia!$C:T)-1)))," ")</f>
        <v xml:space="preserve"> </v>
      </c>
      <c r="U55" s="40" t="str">
        <f>IFERROR((INDEX(referencia!$C23:$Z23,1,(MATCH(referencia!$A23,referencia!$C$1:$Z$1,0)+COLUMNS(referencia!$C:U)-1)))," ")</f>
        <v xml:space="preserve"> </v>
      </c>
      <c r="V55" s="40" t="str">
        <f>IFERROR((INDEX(referencia!$C23:$Z23,1,(MATCH(referencia!$A23,referencia!$C$1:$Z$1,0)+COLUMNS(referencia!$C:V)-1)))," ")</f>
        <v xml:space="preserve"> </v>
      </c>
      <c r="W55" s="40" t="str">
        <f>IFERROR((INDEX(referencia!$C23:$Z23,1,(MATCH(referencia!$A23,referencia!$C$1:$Z$1,0)+COLUMNS(referencia!$C:W)-1)))," ")</f>
        <v xml:space="preserve"> </v>
      </c>
      <c r="X55" s="40" t="str">
        <f>IFERROR((INDEX(referencia!$C23:$Z23,1,(MATCH(referencia!$A23,referencia!$C$1:$Z$1,0)+COLUMNS(referencia!$C:X)-1)))," ")</f>
        <v xml:space="preserve"> </v>
      </c>
      <c r="Y55" s="40" t="str">
        <f>IFERROR((INDEX(referencia!$C23:$Z23,1,(MATCH(referencia!$A23,referencia!$C$1:$Z$1,0)+COLUMNS(referencia!$C:Y)-1)))," ")</f>
        <v xml:space="preserve"> </v>
      </c>
      <c r="Z55" s="40" t="str">
        <f>IFERROR((INDEX(referencia!$C23:$Z23,1,(MATCH(referencia!$A23,referencia!$C$1:$Z$1,0)+COLUMNS(referencia!$C:Z)-1)))," ")</f>
        <v xml:space="preserve"> </v>
      </c>
    </row>
    <row r="56" spans="1:26" x14ac:dyDescent="0.3">
      <c r="A56" s="39">
        <v>44136</v>
      </c>
      <c r="B56" s="9">
        <v>10</v>
      </c>
      <c r="C56" s="40">
        <f>IFERROR((INDEX(referencia!$C24:$Z24,1,(MATCH(referencia!$A24,referencia!$C$1:$Z$1,0)+COLUMNS(referencia!$C:C)-1)))," ")</f>
        <v>10</v>
      </c>
      <c r="D56" s="40">
        <f>IFERROR((INDEX(referencia!$C24:$Z24,1,(MATCH(referencia!$A24,referencia!$C$1:$Z$1,0)+COLUMNS(referencia!$C:D)-1)))," ")</f>
        <v>10</v>
      </c>
      <c r="E56" s="40" t="str">
        <f>IFERROR((INDEX(referencia!$C24:$Z24,1,(MATCH(referencia!$A24,referencia!$C$1:$Z$1,0)+COLUMNS(referencia!$C:E)-1)))," ")</f>
        <v xml:space="preserve"> </v>
      </c>
      <c r="F56" s="40" t="str">
        <f>IFERROR((INDEX(referencia!$C24:$Z24,1,(MATCH(referencia!$A24,referencia!$C$1:$Z$1,0)+COLUMNS(referencia!$C:F)-1)))," ")</f>
        <v xml:space="preserve"> </v>
      </c>
      <c r="G56" s="40" t="str">
        <f>IFERROR((INDEX(referencia!$C24:$Z24,1,(MATCH(referencia!$A24,referencia!$C$1:$Z$1,0)+COLUMNS(referencia!$C:G)-1)))," ")</f>
        <v xml:space="preserve"> </v>
      </c>
      <c r="H56" s="40" t="str">
        <f>IFERROR((INDEX(referencia!$C24:$Z24,1,(MATCH(referencia!$A24,referencia!$C$1:$Z$1,0)+COLUMNS(referencia!$C:H)-1)))," ")</f>
        <v xml:space="preserve"> </v>
      </c>
      <c r="I56" s="40" t="str">
        <f>IFERROR((INDEX(referencia!$C24:$Z24,1,(MATCH(referencia!$A24,referencia!$C$1:$Z$1,0)+COLUMNS(referencia!$C:I)-1)))," ")</f>
        <v xml:space="preserve"> </v>
      </c>
      <c r="J56" s="40" t="str">
        <f>IFERROR((INDEX(referencia!$C24:$Z24,1,(MATCH(referencia!$A24,referencia!$C$1:$Z$1,0)+COLUMNS(referencia!$C:J)-1)))," ")</f>
        <v xml:space="preserve"> </v>
      </c>
      <c r="K56" s="40" t="str">
        <f>IFERROR((INDEX(referencia!$C24:$Z24,1,(MATCH(referencia!$A24,referencia!$C$1:$Z$1,0)+COLUMNS(referencia!$C:K)-1)))," ")</f>
        <v xml:space="preserve"> </v>
      </c>
      <c r="L56" s="40" t="str">
        <f>IFERROR((INDEX(referencia!$C24:$Z24,1,(MATCH(referencia!$A24,referencia!$C$1:$Z$1,0)+COLUMNS(referencia!$C:L)-1)))," ")</f>
        <v xml:space="preserve"> </v>
      </c>
      <c r="M56" s="40" t="str">
        <f>IFERROR((INDEX(referencia!$C24:$Z24,1,(MATCH(referencia!$A24,referencia!$C$1:$Z$1,0)+COLUMNS(referencia!$C:M)-1)))," ")</f>
        <v xml:space="preserve"> </v>
      </c>
      <c r="N56" s="40" t="str">
        <f>IFERROR((INDEX(referencia!$C24:$Z24,1,(MATCH(referencia!$A24,referencia!$C$1:$Z$1,0)+COLUMNS(referencia!$C:N)-1)))," ")</f>
        <v xml:space="preserve"> </v>
      </c>
      <c r="O56" s="40" t="str">
        <f>IFERROR((INDEX(referencia!$C24:$Z24,1,(MATCH(referencia!$A24,referencia!$C$1:$Z$1,0)+COLUMNS(referencia!$C:O)-1)))," ")</f>
        <v xml:space="preserve"> </v>
      </c>
      <c r="P56" s="40" t="str">
        <f>IFERROR((INDEX(referencia!$C24:$Z24,1,(MATCH(referencia!$A24,referencia!$C$1:$Z$1,0)+COLUMNS(referencia!$C:P)-1)))," ")</f>
        <v xml:space="preserve"> </v>
      </c>
      <c r="Q56" s="40" t="str">
        <f>IFERROR((INDEX(referencia!$C24:$Z24,1,(MATCH(referencia!$A24,referencia!$C$1:$Z$1,0)+COLUMNS(referencia!$C:Q)-1)))," ")</f>
        <v xml:space="preserve"> </v>
      </c>
      <c r="R56" s="40" t="str">
        <f>IFERROR((INDEX(referencia!$C24:$Z24,1,(MATCH(referencia!$A24,referencia!$C$1:$Z$1,0)+COLUMNS(referencia!$C:R)-1)))," ")</f>
        <v xml:space="preserve"> </v>
      </c>
      <c r="S56" s="40" t="str">
        <f>IFERROR((INDEX(referencia!$C24:$Z24,1,(MATCH(referencia!$A24,referencia!$C$1:$Z$1,0)+COLUMNS(referencia!$C:S)-1)))," ")</f>
        <v xml:space="preserve"> </v>
      </c>
      <c r="T56" s="40" t="str">
        <f>IFERROR((INDEX(referencia!$C24:$Z24,1,(MATCH(referencia!$A24,referencia!$C$1:$Z$1,0)+COLUMNS(referencia!$C:T)-1)))," ")</f>
        <v xml:space="preserve"> </v>
      </c>
      <c r="U56" s="40" t="str">
        <f>IFERROR((INDEX(referencia!$C24:$Z24,1,(MATCH(referencia!$A24,referencia!$C$1:$Z$1,0)+COLUMNS(referencia!$C:U)-1)))," ")</f>
        <v xml:space="preserve"> </v>
      </c>
      <c r="V56" s="40" t="str">
        <f>IFERROR((INDEX(referencia!$C24:$Z24,1,(MATCH(referencia!$A24,referencia!$C$1:$Z$1,0)+COLUMNS(referencia!$C:V)-1)))," ")</f>
        <v xml:space="preserve"> </v>
      </c>
      <c r="W56" s="40" t="str">
        <f>IFERROR((INDEX(referencia!$C24:$Z24,1,(MATCH(referencia!$A24,referencia!$C$1:$Z$1,0)+COLUMNS(referencia!$C:W)-1)))," ")</f>
        <v xml:space="preserve"> </v>
      </c>
      <c r="X56" s="40" t="str">
        <f>IFERROR((INDEX(referencia!$C24:$Z24,1,(MATCH(referencia!$A24,referencia!$C$1:$Z$1,0)+COLUMNS(referencia!$C:X)-1)))," ")</f>
        <v xml:space="preserve"> </v>
      </c>
      <c r="Y56" s="40" t="str">
        <f>IFERROR((INDEX(referencia!$C24:$Z24,1,(MATCH(referencia!$A24,referencia!$C$1:$Z$1,0)+COLUMNS(referencia!$C:Y)-1)))," ")</f>
        <v xml:space="preserve"> </v>
      </c>
      <c r="Z56" s="40" t="str">
        <f>IFERROR((INDEX(referencia!$C24:$Z24,1,(MATCH(referencia!$A24,referencia!$C$1:$Z$1,0)+COLUMNS(referencia!$C:Z)-1)))," ")</f>
        <v xml:space="preserve"> </v>
      </c>
    </row>
    <row r="57" spans="1:26" x14ac:dyDescent="0.3">
      <c r="A57" s="39">
        <v>44166</v>
      </c>
      <c r="B57" s="9">
        <v>16</v>
      </c>
      <c r="C57" s="40">
        <f>IFERROR((INDEX(referencia!$C25:$Z25,1,(MATCH(referencia!$A25,referencia!$C$1:$Z$1,0)+COLUMNS(referencia!$C:C)-1)))," ")</f>
        <v>16</v>
      </c>
      <c r="D57" s="40" t="str">
        <f>IFERROR((INDEX(referencia!$C25:$Z25,1,(MATCH(referencia!$A25,referencia!$C$1:$Z$1,0)+COLUMNS(referencia!$C:D)-1)))," ")</f>
        <v xml:space="preserve"> </v>
      </c>
      <c r="E57" s="40" t="str">
        <f>IFERROR((INDEX(referencia!$C25:$Z25,1,(MATCH(referencia!$A25,referencia!$C$1:$Z$1,0)+COLUMNS(referencia!$C:E)-1)))," ")</f>
        <v xml:space="preserve"> </v>
      </c>
      <c r="F57" s="40" t="str">
        <f>IFERROR((INDEX(referencia!$C25:$Z25,1,(MATCH(referencia!$A25,referencia!$C$1:$Z$1,0)+COLUMNS(referencia!$C:F)-1)))," ")</f>
        <v xml:space="preserve"> </v>
      </c>
      <c r="G57" s="40" t="str">
        <f>IFERROR((INDEX(referencia!$C25:$Z25,1,(MATCH(referencia!$A25,referencia!$C$1:$Z$1,0)+COLUMNS(referencia!$C:G)-1)))," ")</f>
        <v xml:space="preserve"> </v>
      </c>
      <c r="H57" s="40" t="str">
        <f>IFERROR((INDEX(referencia!$C25:$Z25,1,(MATCH(referencia!$A25,referencia!$C$1:$Z$1,0)+COLUMNS(referencia!$C:H)-1)))," ")</f>
        <v xml:space="preserve"> </v>
      </c>
      <c r="I57" s="40" t="str">
        <f>IFERROR((INDEX(referencia!$C25:$Z25,1,(MATCH(referencia!$A25,referencia!$C$1:$Z$1,0)+COLUMNS(referencia!$C:I)-1)))," ")</f>
        <v xml:space="preserve"> </v>
      </c>
      <c r="J57" s="40" t="str">
        <f>IFERROR((INDEX(referencia!$C25:$Z25,1,(MATCH(referencia!$A25,referencia!$C$1:$Z$1,0)+COLUMNS(referencia!$C:J)-1)))," ")</f>
        <v xml:space="preserve"> </v>
      </c>
      <c r="K57" s="40" t="str">
        <f>IFERROR((INDEX(referencia!$C25:$Z25,1,(MATCH(referencia!$A25,referencia!$C$1:$Z$1,0)+COLUMNS(referencia!$C:K)-1)))," ")</f>
        <v xml:space="preserve"> </v>
      </c>
      <c r="L57" s="40" t="str">
        <f>IFERROR((INDEX(referencia!$C25:$Z25,1,(MATCH(referencia!$A25,referencia!$C$1:$Z$1,0)+COLUMNS(referencia!$C:L)-1)))," ")</f>
        <v xml:space="preserve"> </v>
      </c>
      <c r="M57" s="40" t="str">
        <f>IFERROR((INDEX(referencia!$C25:$Z25,1,(MATCH(referencia!$A25,referencia!$C$1:$Z$1,0)+COLUMNS(referencia!$C:M)-1)))," ")</f>
        <v xml:space="preserve"> </v>
      </c>
      <c r="N57" s="40" t="str">
        <f>IFERROR((INDEX(referencia!$C25:$Z25,1,(MATCH(referencia!$A25,referencia!$C$1:$Z$1,0)+COLUMNS(referencia!$C:N)-1)))," ")</f>
        <v xml:space="preserve"> </v>
      </c>
      <c r="O57" s="40" t="str">
        <f>IFERROR((INDEX(referencia!$C25:$Z25,1,(MATCH(referencia!$A25,referencia!$C$1:$Z$1,0)+COLUMNS(referencia!$C:O)-1)))," ")</f>
        <v xml:space="preserve"> </v>
      </c>
      <c r="P57" s="40" t="str">
        <f>IFERROR((INDEX(referencia!$C25:$Z25,1,(MATCH(referencia!$A25,referencia!$C$1:$Z$1,0)+COLUMNS(referencia!$C:P)-1)))," ")</f>
        <v xml:space="preserve"> </v>
      </c>
      <c r="Q57" s="40" t="str">
        <f>IFERROR((INDEX(referencia!$C25:$Z25,1,(MATCH(referencia!$A25,referencia!$C$1:$Z$1,0)+COLUMNS(referencia!$C:Q)-1)))," ")</f>
        <v xml:space="preserve"> </v>
      </c>
      <c r="R57" s="40" t="str">
        <f>IFERROR((INDEX(referencia!$C25:$Z25,1,(MATCH(referencia!$A25,referencia!$C$1:$Z$1,0)+COLUMNS(referencia!$C:R)-1)))," ")</f>
        <v xml:space="preserve"> </v>
      </c>
      <c r="S57" s="40" t="str">
        <f>IFERROR((INDEX(referencia!$C25:$Z25,1,(MATCH(referencia!$A25,referencia!$C$1:$Z$1,0)+COLUMNS(referencia!$C:S)-1)))," ")</f>
        <v xml:space="preserve"> </v>
      </c>
      <c r="T57" s="40" t="str">
        <f>IFERROR((INDEX(referencia!$C25:$Z25,1,(MATCH(referencia!$A25,referencia!$C$1:$Z$1,0)+COLUMNS(referencia!$C:T)-1)))," ")</f>
        <v xml:space="preserve"> </v>
      </c>
      <c r="U57" s="40" t="str">
        <f>IFERROR((INDEX(referencia!$C25:$Z25,1,(MATCH(referencia!$A25,referencia!$C$1:$Z$1,0)+COLUMNS(referencia!$C:U)-1)))," ")</f>
        <v xml:space="preserve"> </v>
      </c>
      <c r="V57" s="40" t="str">
        <f>IFERROR((INDEX(referencia!$C25:$Z25,1,(MATCH(referencia!$A25,referencia!$C$1:$Z$1,0)+COLUMNS(referencia!$C:V)-1)))," ")</f>
        <v xml:space="preserve"> </v>
      </c>
      <c r="W57" s="40" t="str">
        <f>IFERROR((INDEX(referencia!$C25:$Z25,1,(MATCH(referencia!$A25,referencia!$C$1:$Z$1,0)+COLUMNS(referencia!$C:W)-1)))," ")</f>
        <v xml:space="preserve"> </v>
      </c>
      <c r="X57" s="40" t="str">
        <f>IFERROR((INDEX(referencia!$C25:$Z25,1,(MATCH(referencia!$A25,referencia!$C$1:$Z$1,0)+COLUMNS(referencia!$C:X)-1)))," ")</f>
        <v xml:space="preserve"> </v>
      </c>
      <c r="Y57" s="40" t="str">
        <f>IFERROR((INDEX(referencia!$C25:$Z25,1,(MATCH(referencia!$A25,referencia!$C$1:$Z$1,0)+COLUMNS(referencia!$C:Y)-1)))," ")</f>
        <v xml:space="preserve"> </v>
      </c>
      <c r="Z57" s="40" t="str">
        <f>IFERROR((INDEX(referencia!$C25:$Z25,1,(MATCH(referencia!$A25,referencia!$C$1:$Z$1,0)+COLUMNS(referencia!$C:Z)-1)))," ")</f>
        <v xml:space="preserve"> </v>
      </c>
    </row>
    <row r="58" spans="1:26" x14ac:dyDescent="0.3">
      <c r="A58" s="83" t="s">
        <v>440</v>
      </c>
      <c r="B58" s="84"/>
      <c r="C58" s="34">
        <f>SUM(C34:C57)</f>
        <v>330</v>
      </c>
      <c r="D58" s="34">
        <f>SUM(D34:D57)</f>
        <v>311</v>
      </c>
      <c r="E58" s="34">
        <f>SUM(E34:E57)</f>
        <v>295</v>
      </c>
      <c r="F58" s="34">
        <f>SUM(F34:F57)</f>
        <v>272</v>
      </c>
      <c r="G58" s="34">
        <f t="shared" ref="G58:Z58" si="0">SUM(G34:G57)</f>
        <v>254</v>
      </c>
      <c r="H58" s="34">
        <f t="shared" si="0"/>
        <v>220</v>
      </c>
      <c r="I58" s="34">
        <f t="shared" si="0"/>
        <v>192</v>
      </c>
      <c r="J58" s="34">
        <f t="shared" si="0"/>
        <v>171</v>
      </c>
      <c r="K58" s="34">
        <f t="shared" si="0"/>
        <v>151</v>
      </c>
      <c r="L58" s="34">
        <f t="shared" si="0"/>
        <v>131</v>
      </c>
      <c r="M58" s="34">
        <f t="shared" si="0"/>
        <v>123</v>
      </c>
      <c r="N58" s="34">
        <f t="shared" si="0"/>
        <v>112</v>
      </c>
      <c r="O58" s="34">
        <f t="shared" si="0"/>
        <v>91</v>
      </c>
      <c r="P58" s="34">
        <f t="shared" si="0"/>
        <v>82</v>
      </c>
      <c r="Q58" s="34">
        <f t="shared" si="0"/>
        <v>68</v>
      </c>
      <c r="R58" s="34">
        <f t="shared" si="0"/>
        <v>55</v>
      </c>
      <c r="S58" s="34">
        <f t="shared" si="0"/>
        <v>50</v>
      </c>
      <c r="T58" s="34">
        <f t="shared" si="0"/>
        <v>47</v>
      </c>
      <c r="U58" s="34">
        <f t="shared" si="0"/>
        <v>40</v>
      </c>
      <c r="V58" s="34">
        <f t="shared" si="0"/>
        <v>33</v>
      </c>
      <c r="W58" s="34">
        <f t="shared" si="0"/>
        <v>26</v>
      </c>
      <c r="X58" s="34">
        <f t="shared" si="0"/>
        <v>19</v>
      </c>
      <c r="Y58" s="34">
        <f t="shared" si="0"/>
        <v>15</v>
      </c>
      <c r="Z58" s="34">
        <f t="shared" si="0"/>
        <v>7</v>
      </c>
    </row>
    <row r="65" spans="1:26" ht="28.8" x14ac:dyDescent="0.3">
      <c r="A65" s="43" t="s">
        <v>369</v>
      </c>
      <c r="B65" s="44" t="s">
        <v>370</v>
      </c>
      <c r="C65" s="45" t="s">
        <v>395</v>
      </c>
      <c r="D65" s="45" t="s">
        <v>396</v>
      </c>
      <c r="E65" s="45" t="s">
        <v>397</v>
      </c>
      <c r="F65" s="45" t="s">
        <v>398</v>
      </c>
      <c r="G65" s="45" t="s">
        <v>399</v>
      </c>
      <c r="H65" s="45" t="s">
        <v>400</v>
      </c>
      <c r="I65" s="45" t="s">
        <v>401</v>
      </c>
      <c r="J65" s="45" t="s">
        <v>402</v>
      </c>
      <c r="K65" s="45" t="s">
        <v>403</v>
      </c>
      <c r="L65" s="45" t="s">
        <v>404</v>
      </c>
      <c r="M65" s="45" t="s">
        <v>405</v>
      </c>
      <c r="N65" s="45" t="s">
        <v>406</v>
      </c>
      <c r="O65" s="45" t="s">
        <v>407</v>
      </c>
      <c r="P65" s="45" t="s">
        <v>408</v>
      </c>
      <c r="Q65" s="45" t="s">
        <v>409</v>
      </c>
      <c r="R65" s="45" t="s">
        <v>410</v>
      </c>
      <c r="S65" s="45" t="s">
        <v>411</v>
      </c>
      <c r="T65" s="45" t="s">
        <v>412</v>
      </c>
      <c r="U65" s="45" t="s">
        <v>413</v>
      </c>
      <c r="V65" s="45" t="s">
        <v>414</v>
      </c>
      <c r="W65" s="45" t="s">
        <v>415</v>
      </c>
      <c r="X65" s="45" t="s">
        <v>416</v>
      </c>
      <c r="Y65" s="45" t="s">
        <v>417</v>
      </c>
      <c r="Z65" s="46" t="s">
        <v>418</v>
      </c>
    </row>
    <row r="66" spans="1:26" x14ac:dyDescent="0.3">
      <c r="A66" s="42">
        <v>43466</v>
      </c>
      <c r="B66" s="41">
        <v>11</v>
      </c>
      <c r="C66" s="48">
        <f>+C34/$B34</f>
        <v>1</v>
      </c>
      <c r="D66" s="49">
        <f>+D34/$B34</f>
        <v>1</v>
      </c>
      <c r="E66" s="49">
        <f t="shared" ref="E66:F66" si="1">+E34/$B34</f>
        <v>0.90909090909090906</v>
      </c>
      <c r="F66" s="49">
        <f t="shared" si="1"/>
        <v>0.90909090909090906</v>
      </c>
      <c r="G66" s="49">
        <f>+G34/$B34</f>
        <v>0.90909090909090906</v>
      </c>
      <c r="H66" s="49">
        <f t="shared" ref="H66:Z66" si="2">+H34/$B34</f>
        <v>0.90909090909090906</v>
      </c>
      <c r="I66" s="49">
        <f t="shared" si="2"/>
        <v>0.90909090909090906</v>
      </c>
      <c r="J66" s="49">
        <f t="shared" si="2"/>
        <v>0.81818181818181823</v>
      </c>
      <c r="K66" s="49">
        <f t="shared" si="2"/>
        <v>0.72727272727272729</v>
      </c>
      <c r="L66" s="49">
        <f t="shared" si="2"/>
        <v>0.72727272727272729</v>
      </c>
      <c r="M66" s="49">
        <f t="shared" si="2"/>
        <v>0.72727272727272729</v>
      </c>
      <c r="N66" s="49">
        <f t="shared" si="2"/>
        <v>0.72727272727272729</v>
      </c>
      <c r="O66" s="49">
        <f t="shared" si="2"/>
        <v>0.72727272727272729</v>
      </c>
      <c r="P66" s="49">
        <f t="shared" si="2"/>
        <v>0.72727272727272729</v>
      </c>
      <c r="Q66" s="49">
        <f t="shared" si="2"/>
        <v>0.72727272727272729</v>
      </c>
      <c r="R66" s="49">
        <f t="shared" si="2"/>
        <v>0.72727272727272729</v>
      </c>
      <c r="S66" s="49">
        <f t="shared" si="2"/>
        <v>0.72727272727272729</v>
      </c>
      <c r="T66" s="49">
        <f t="shared" si="2"/>
        <v>0.72727272727272729</v>
      </c>
      <c r="U66" s="49">
        <f t="shared" si="2"/>
        <v>0.72727272727272729</v>
      </c>
      <c r="V66" s="49">
        <f t="shared" si="2"/>
        <v>0.72727272727272729</v>
      </c>
      <c r="W66" s="49">
        <f t="shared" si="2"/>
        <v>0.63636363636363635</v>
      </c>
      <c r="X66" s="49">
        <f t="shared" si="2"/>
        <v>0.63636363636363635</v>
      </c>
      <c r="Y66" s="49">
        <f t="shared" si="2"/>
        <v>0.63636363636363635</v>
      </c>
      <c r="Z66" s="50">
        <f t="shared" si="2"/>
        <v>0.63636363636363635</v>
      </c>
    </row>
    <row r="67" spans="1:26" x14ac:dyDescent="0.3">
      <c r="A67" s="42">
        <v>43497</v>
      </c>
      <c r="B67" s="41">
        <v>13</v>
      </c>
      <c r="C67" s="51">
        <f>+C35/$B35</f>
        <v>1</v>
      </c>
      <c r="D67" s="52">
        <f>+D35/$B35</f>
        <v>1</v>
      </c>
      <c r="E67" s="52">
        <f t="shared" ref="E67:G67" si="3">+E35/$B35</f>
        <v>0.92307692307692313</v>
      </c>
      <c r="F67" s="52">
        <f t="shared" si="3"/>
        <v>0.84615384615384615</v>
      </c>
      <c r="G67" s="52">
        <f t="shared" si="3"/>
        <v>0.76923076923076927</v>
      </c>
      <c r="H67" s="52">
        <f t="shared" ref="H67:Y67" si="4">+H35/$B35</f>
        <v>0.76923076923076927</v>
      </c>
      <c r="I67" s="52">
        <f t="shared" si="4"/>
        <v>0.76923076923076927</v>
      </c>
      <c r="J67" s="52">
        <f t="shared" si="4"/>
        <v>0.76923076923076927</v>
      </c>
      <c r="K67" s="52">
        <f t="shared" si="4"/>
        <v>0.69230769230769229</v>
      </c>
      <c r="L67" s="52">
        <f t="shared" si="4"/>
        <v>0.61538461538461542</v>
      </c>
      <c r="M67" s="52">
        <f t="shared" si="4"/>
        <v>0.61538461538461542</v>
      </c>
      <c r="N67" s="52">
        <f t="shared" si="4"/>
        <v>0.61538461538461542</v>
      </c>
      <c r="O67" s="52">
        <f t="shared" si="4"/>
        <v>0.61538461538461542</v>
      </c>
      <c r="P67" s="52">
        <f t="shared" si="4"/>
        <v>0.61538461538461542</v>
      </c>
      <c r="Q67" s="52">
        <f t="shared" si="4"/>
        <v>0.61538461538461542</v>
      </c>
      <c r="R67" s="52">
        <f t="shared" si="4"/>
        <v>0.61538461538461542</v>
      </c>
      <c r="S67" s="52">
        <f t="shared" si="4"/>
        <v>0.61538461538461542</v>
      </c>
      <c r="T67" s="52">
        <f t="shared" si="4"/>
        <v>0.61538461538461542</v>
      </c>
      <c r="U67" s="52">
        <f t="shared" si="4"/>
        <v>0.61538461538461542</v>
      </c>
      <c r="V67" s="52">
        <f t="shared" si="4"/>
        <v>0.61538461538461542</v>
      </c>
      <c r="W67" s="52">
        <f t="shared" si="4"/>
        <v>0.61538461538461542</v>
      </c>
      <c r="X67" s="52">
        <f t="shared" si="4"/>
        <v>0.61538461538461542</v>
      </c>
      <c r="Y67" s="52">
        <f t="shared" si="4"/>
        <v>0.61538461538461542</v>
      </c>
      <c r="Z67" s="53"/>
    </row>
    <row r="68" spans="1:26" x14ac:dyDescent="0.3">
      <c r="A68" s="42">
        <v>43525</v>
      </c>
      <c r="B68" s="41">
        <v>13</v>
      </c>
      <c r="C68" s="51">
        <f t="shared" ref="C68:D89" si="5">+C36/$B36</f>
        <v>1</v>
      </c>
      <c r="D68" s="52">
        <f t="shared" si="5"/>
        <v>1</v>
      </c>
      <c r="E68" s="52">
        <f t="shared" ref="E68:G68" si="6">+E36/$B36</f>
        <v>1</v>
      </c>
      <c r="F68" s="52">
        <f t="shared" si="6"/>
        <v>1</v>
      </c>
      <c r="G68" s="52">
        <f t="shared" si="6"/>
        <v>1</v>
      </c>
      <c r="H68" s="52">
        <f t="shared" ref="H68:X68" si="7">+H36/$B36</f>
        <v>1</v>
      </c>
      <c r="I68" s="52">
        <f t="shared" si="7"/>
        <v>0.92307692307692313</v>
      </c>
      <c r="J68" s="52">
        <f t="shared" si="7"/>
        <v>0.84615384615384615</v>
      </c>
      <c r="K68" s="52">
        <f t="shared" si="7"/>
        <v>0.84615384615384615</v>
      </c>
      <c r="L68" s="52">
        <f t="shared" si="7"/>
        <v>0.84615384615384615</v>
      </c>
      <c r="M68" s="52">
        <f t="shared" si="7"/>
        <v>0.84615384615384615</v>
      </c>
      <c r="N68" s="52">
        <f t="shared" si="7"/>
        <v>0.84615384615384615</v>
      </c>
      <c r="O68" s="52">
        <f t="shared" si="7"/>
        <v>0.76923076923076927</v>
      </c>
      <c r="P68" s="52">
        <f t="shared" si="7"/>
        <v>0.76923076923076927</v>
      </c>
      <c r="Q68" s="52">
        <f t="shared" si="7"/>
        <v>0.53846153846153844</v>
      </c>
      <c r="R68" s="52">
        <f t="shared" si="7"/>
        <v>0.46153846153846156</v>
      </c>
      <c r="S68" s="52">
        <f t="shared" si="7"/>
        <v>0.46153846153846156</v>
      </c>
      <c r="T68" s="52">
        <f t="shared" si="7"/>
        <v>0.46153846153846156</v>
      </c>
      <c r="U68" s="52">
        <f t="shared" si="7"/>
        <v>0.38461538461538464</v>
      </c>
      <c r="V68" s="52">
        <f t="shared" si="7"/>
        <v>0.30769230769230771</v>
      </c>
      <c r="W68" s="52">
        <f>+W36/$B36</f>
        <v>0.30769230769230771</v>
      </c>
      <c r="X68" s="52">
        <f t="shared" si="7"/>
        <v>0.30769230769230771</v>
      </c>
      <c r="Y68" s="52"/>
      <c r="Z68" s="53"/>
    </row>
    <row r="69" spans="1:26" x14ac:dyDescent="0.3">
      <c r="A69" s="42">
        <v>43556</v>
      </c>
      <c r="B69" s="41">
        <v>15</v>
      </c>
      <c r="C69" s="51">
        <f t="shared" si="5"/>
        <v>1</v>
      </c>
      <c r="D69" s="52">
        <f t="shared" si="5"/>
        <v>1</v>
      </c>
      <c r="E69" s="52">
        <f t="shared" ref="E69:G69" si="8">+E37/$B37</f>
        <v>0.93333333333333335</v>
      </c>
      <c r="F69" s="52">
        <f t="shared" si="8"/>
        <v>0.93333333333333335</v>
      </c>
      <c r="G69" s="52">
        <f t="shared" si="8"/>
        <v>0.8666666666666667</v>
      </c>
      <c r="H69" s="52">
        <f t="shared" ref="H69:W69" si="9">+H37/$B37</f>
        <v>0.8</v>
      </c>
      <c r="I69" s="52">
        <f t="shared" si="9"/>
        <v>0.8</v>
      </c>
      <c r="J69" s="52">
        <f t="shared" si="9"/>
        <v>0.73333333333333328</v>
      </c>
      <c r="K69" s="52">
        <f t="shared" si="9"/>
        <v>0.73333333333333328</v>
      </c>
      <c r="L69" s="52">
        <f t="shared" si="9"/>
        <v>0.6</v>
      </c>
      <c r="M69" s="52">
        <f t="shared" si="9"/>
        <v>0.6</v>
      </c>
      <c r="N69" s="52">
        <f t="shared" si="9"/>
        <v>0.6</v>
      </c>
      <c r="O69" s="52">
        <f t="shared" si="9"/>
        <v>0.46666666666666667</v>
      </c>
      <c r="P69" s="52">
        <f t="shared" si="9"/>
        <v>0.46666666666666667</v>
      </c>
      <c r="Q69" s="52">
        <f t="shared" si="9"/>
        <v>0.46666666666666667</v>
      </c>
      <c r="R69" s="52">
        <f t="shared" si="9"/>
        <v>0.46666666666666667</v>
      </c>
      <c r="S69" s="52">
        <f t="shared" si="9"/>
        <v>0.46666666666666667</v>
      </c>
      <c r="T69" s="52">
        <f t="shared" si="9"/>
        <v>0.46666666666666667</v>
      </c>
      <c r="U69" s="52">
        <f t="shared" si="9"/>
        <v>0.46666666666666667</v>
      </c>
      <c r="V69" s="52">
        <f t="shared" si="9"/>
        <v>0.46666666666666667</v>
      </c>
      <c r="W69" s="52">
        <f t="shared" si="9"/>
        <v>0.46666666666666667</v>
      </c>
      <c r="X69" s="52"/>
      <c r="Y69" s="52"/>
      <c r="Z69" s="53"/>
    </row>
    <row r="70" spans="1:26" x14ac:dyDescent="0.3">
      <c r="A70" s="42">
        <v>43586</v>
      </c>
      <c r="B70" s="41">
        <v>13</v>
      </c>
      <c r="C70" s="51">
        <f t="shared" si="5"/>
        <v>1</v>
      </c>
      <c r="D70" s="52">
        <f t="shared" si="5"/>
        <v>1</v>
      </c>
      <c r="E70" s="52">
        <f t="shared" ref="E70:G70" si="10">+E38/$B38</f>
        <v>1</v>
      </c>
      <c r="F70" s="52">
        <f t="shared" si="10"/>
        <v>0.92307692307692313</v>
      </c>
      <c r="G70" s="52">
        <f t="shared" si="10"/>
        <v>0.84615384615384615</v>
      </c>
      <c r="H70" s="52">
        <f t="shared" ref="H70:V70" si="11">+H38/$B38</f>
        <v>0.76923076923076927</v>
      </c>
      <c r="I70" s="52">
        <f t="shared" si="11"/>
        <v>0.76923076923076927</v>
      </c>
      <c r="J70" s="52">
        <f t="shared" si="11"/>
        <v>0.76923076923076927</v>
      </c>
      <c r="K70" s="52">
        <f t="shared" si="11"/>
        <v>0.76923076923076927</v>
      </c>
      <c r="L70" s="52">
        <f t="shared" si="11"/>
        <v>0.69230769230769229</v>
      </c>
      <c r="M70" s="52">
        <f t="shared" si="11"/>
        <v>0.69230769230769229</v>
      </c>
      <c r="N70" s="52">
        <f t="shared" si="11"/>
        <v>0.69230769230769229</v>
      </c>
      <c r="O70" s="52">
        <f t="shared" si="11"/>
        <v>0.61538461538461542</v>
      </c>
      <c r="P70" s="52">
        <f t="shared" si="11"/>
        <v>0.61538461538461542</v>
      </c>
      <c r="Q70" s="52">
        <f t="shared" si="11"/>
        <v>0.46153846153846156</v>
      </c>
      <c r="R70" s="52">
        <f t="shared" si="11"/>
        <v>0.46153846153846156</v>
      </c>
      <c r="S70" s="52">
        <f t="shared" si="11"/>
        <v>0.46153846153846156</v>
      </c>
      <c r="T70" s="52">
        <f t="shared" si="11"/>
        <v>0.46153846153846156</v>
      </c>
      <c r="U70" s="52">
        <f t="shared" si="11"/>
        <v>0.46153846153846156</v>
      </c>
      <c r="V70" s="52">
        <f t="shared" si="11"/>
        <v>0.46153846153846156</v>
      </c>
      <c r="W70" s="52"/>
      <c r="X70" s="52"/>
      <c r="Y70" s="52"/>
      <c r="Z70" s="53"/>
    </row>
    <row r="71" spans="1:26" x14ac:dyDescent="0.3">
      <c r="A71" s="42">
        <v>43617</v>
      </c>
      <c r="B71" s="41">
        <v>11</v>
      </c>
      <c r="C71" s="51">
        <f t="shared" si="5"/>
        <v>1</v>
      </c>
      <c r="D71" s="52">
        <f t="shared" si="5"/>
        <v>1</v>
      </c>
      <c r="E71" s="52">
        <f t="shared" ref="E71:F71" si="12">+E39/$B39</f>
        <v>1</v>
      </c>
      <c r="F71" s="52">
        <f t="shared" si="12"/>
        <v>0.90909090909090906</v>
      </c>
      <c r="G71" s="52">
        <f>+G39/$B39</f>
        <v>0.90909090909090906</v>
      </c>
      <c r="H71" s="52">
        <f t="shared" ref="H71:U71" si="13">+H39/$B39</f>
        <v>0.90909090909090906</v>
      </c>
      <c r="I71" s="52">
        <f t="shared" si="13"/>
        <v>0.81818181818181823</v>
      </c>
      <c r="J71" s="52">
        <f t="shared" si="13"/>
        <v>0.81818181818181823</v>
      </c>
      <c r="K71" s="52">
        <f t="shared" si="13"/>
        <v>0.72727272727272729</v>
      </c>
      <c r="L71" s="52">
        <f t="shared" si="13"/>
        <v>0.72727272727272729</v>
      </c>
      <c r="M71" s="52">
        <f t="shared" si="13"/>
        <v>0.72727272727272729</v>
      </c>
      <c r="N71" s="52">
        <f t="shared" si="13"/>
        <v>0.72727272727272729</v>
      </c>
      <c r="O71" s="52">
        <f t="shared" si="13"/>
        <v>0.72727272727272729</v>
      </c>
      <c r="P71" s="52">
        <f t="shared" si="13"/>
        <v>0.72727272727272729</v>
      </c>
      <c r="Q71" s="52">
        <f t="shared" si="13"/>
        <v>0.72727272727272729</v>
      </c>
      <c r="R71" s="52">
        <f t="shared" si="13"/>
        <v>0.63636363636363635</v>
      </c>
      <c r="S71" s="52">
        <f t="shared" si="13"/>
        <v>0.63636363636363635</v>
      </c>
      <c r="T71" s="52">
        <f t="shared" si="13"/>
        <v>0.63636363636363635</v>
      </c>
      <c r="U71" s="52">
        <f t="shared" si="13"/>
        <v>0.54545454545454541</v>
      </c>
      <c r="V71" s="52"/>
      <c r="W71" s="52"/>
      <c r="X71" s="52"/>
      <c r="Y71" s="52"/>
      <c r="Z71" s="53"/>
    </row>
    <row r="72" spans="1:26" x14ac:dyDescent="0.3">
      <c r="A72" s="42">
        <v>43647</v>
      </c>
      <c r="B72" s="41">
        <v>11</v>
      </c>
      <c r="C72" s="51">
        <f t="shared" si="5"/>
        <v>1</v>
      </c>
      <c r="D72" s="52">
        <f t="shared" si="5"/>
        <v>1</v>
      </c>
      <c r="E72" s="52">
        <f t="shared" ref="E72:G72" si="14">+E40/$B40</f>
        <v>1</v>
      </c>
      <c r="F72" s="52">
        <f t="shared" si="14"/>
        <v>1</v>
      </c>
      <c r="G72" s="52">
        <f t="shared" si="14"/>
        <v>1</v>
      </c>
      <c r="H72" s="52">
        <f t="shared" ref="H72:T72" si="15">+H40/$B40</f>
        <v>1</v>
      </c>
      <c r="I72" s="52">
        <f t="shared" si="15"/>
        <v>0.90909090909090906</v>
      </c>
      <c r="J72" s="52">
        <f t="shared" si="15"/>
        <v>0.72727272727272729</v>
      </c>
      <c r="K72" s="52">
        <f t="shared" si="15"/>
        <v>0.72727272727272729</v>
      </c>
      <c r="L72" s="52">
        <f t="shared" si="15"/>
        <v>0.72727272727272729</v>
      </c>
      <c r="M72" s="52">
        <f t="shared" si="15"/>
        <v>0.63636363636363635</v>
      </c>
      <c r="N72" s="52">
        <f t="shared" si="15"/>
        <v>0.63636363636363635</v>
      </c>
      <c r="O72" s="52">
        <f t="shared" si="15"/>
        <v>0.63636363636363635</v>
      </c>
      <c r="P72" s="52">
        <f t="shared" si="15"/>
        <v>0.54545454545454541</v>
      </c>
      <c r="Q72" s="52">
        <f t="shared" si="15"/>
        <v>0.54545454545454541</v>
      </c>
      <c r="R72" s="52">
        <f t="shared" si="15"/>
        <v>0.54545454545454541</v>
      </c>
      <c r="S72" s="52">
        <f t="shared" si="15"/>
        <v>0.45454545454545453</v>
      </c>
      <c r="T72" s="52">
        <f t="shared" si="15"/>
        <v>0.45454545454545453</v>
      </c>
      <c r="U72" s="52"/>
      <c r="V72" s="52"/>
      <c r="W72" s="52"/>
      <c r="X72" s="52"/>
      <c r="Y72" s="52"/>
      <c r="Z72" s="53"/>
    </row>
    <row r="73" spans="1:26" x14ac:dyDescent="0.3">
      <c r="A73" s="42">
        <v>43678</v>
      </c>
      <c r="B73" s="41">
        <v>4</v>
      </c>
      <c r="C73" s="51">
        <f t="shared" si="5"/>
        <v>1</v>
      </c>
      <c r="D73" s="52">
        <f t="shared" si="5"/>
        <v>0.75</v>
      </c>
      <c r="E73" s="52">
        <f t="shared" ref="E73:G73" si="16">+E41/$B41</f>
        <v>0.75</v>
      </c>
      <c r="F73" s="52">
        <f t="shared" si="16"/>
        <v>0.75</v>
      </c>
      <c r="G73" s="52">
        <f t="shared" si="16"/>
        <v>0.75</v>
      </c>
      <c r="H73" s="52">
        <f t="shared" ref="H73:S73" si="17">+H41/$B41</f>
        <v>0.75</v>
      </c>
      <c r="I73" s="52">
        <f t="shared" si="17"/>
        <v>0.75</v>
      </c>
      <c r="J73" s="52">
        <f t="shared" si="17"/>
        <v>0.75</v>
      </c>
      <c r="K73" s="52">
        <f t="shared" si="17"/>
        <v>0.75</v>
      </c>
      <c r="L73" s="52">
        <f t="shared" si="17"/>
        <v>0.75</v>
      </c>
      <c r="M73" s="52">
        <f t="shared" si="17"/>
        <v>0.75</v>
      </c>
      <c r="N73" s="52">
        <f t="shared" si="17"/>
        <v>0.75</v>
      </c>
      <c r="O73" s="52">
        <f t="shared" si="17"/>
        <v>0.75</v>
      </c>
      <c r="P73" s="52">
        <f t="shared" si="17"/>
        <v>0.75</v>
      </c>
      <c r="Q73" s="52">
        <f t="shared" si="17"/>
        <v>0.75</v>
      </c>
      <c r="R73" s="52">
        <f t="shared" si="17"/>
        <v>0.75</v>
      </c>
      <c r="S73" s="52">
        <f t="shared" si="17"/>
        <v>0.75</v>
      </c>
      <c r="T73" s="52"/>
      <c r="U73" s="52"/>
      <c r="V73" s="52"/>
      <c r="W73" s="52"/>
      <c r="X73" s="52"/>
      <c r="Y73" s="52"/>
      <c r="Z73" s="53"/>
    </row>
    <row r="74" spans="1:26" x14ac:dyDescent="0.3">
      <c r="A74" s="42">
        <v>43709</v>
      </c>
      <c r="B74" s="41">
        <v>8</v>
      </c>
      <c r="C74" s="51">
        <f t="shared" si="5"/>
        <v>1</v>
      </c>
      <c r="D74" s="52">
        <f t="shared" si="5"/>
        <v>1</v>
      </c>
      <c r="E74" s="52">
        <f t="shared" ref="E74:G74" si="18">+E42/$B42</f>
        <v>0.875</v>
      </c>
      <c r="F74" s="52">
        <f t="shared" si="18"/>
        <v>0.875</v>
      </c>
      <c r="G74" s="52">
        <f t="shared" si="18"/>
        <v>0.75</v>
      </c>
      <c r="H74" s="52">
        <f t="shared" ref="H74:R74" si="19">+H42/$B42</f>
        <v>0.75</v>
      </c>
      <c r="I74" s="52">
        <f t="shared" si="19"/>
        <v>0.75</v>
      </c>
      <c r="J74" s="52">
        <f t="shared" si="19"/>
        <v>0.75</v>
      </c>
      <c r="K74" s="52">
        <f t="shared" si="19"/>
        <v>0.75</v>
      </c>
      <c r="L74" s="52">
        <f t="shared" si="19"/>
        <v>0.75</v>
      </c>
      <c r="M74" s="52">
        <f t="shared" si="19"/>
        <v>0.75</v>
      </c>
      <c r="N74" s="52">
        <f t="shared" si="19"/>
        <v>0.75</v>
      </c>
      <c r="O74" s="52">
        <f t="shared" si="19"/>
        <v>0.5</v>
      </c>
      <c r="P74" s="52">
        <f t="shared" si="19"/>
        <v>0.5</v>
      </c>
      <c r="Q74" s="52">
        <f t="shared" si="19"/>
        <v>0.5</v>
      </c>
      <c r="R74" s="52">
        <f t="shared" si="19"/>
        <v>0.5</v>
      </c>
      <c r="S74" s="52"/>
      <c r="T74" s="52"/>
      <c r="U74" s="52"/>
      <c r="V74" s="52"/>
      <c r="W74" s="52"/>
      <c r="X74" s="52"/>
      <c r="Y74" s="52"/>
      <c r="Z74" s="53"/>
    </row>
    <row r="75" spans="1:26" x14ac:dyDescent="0.3">
      <c r="A75" s="42">
        <v>43739</v>
      </c>
      <c r="B75" s="41">
        <v>15</v>
      </c>
      <c r="C75" s="51">
        <f t="shared" si="5"/>
        <v>1</v>
      </c>
      <c r="D75" s="52">
        <f t="shared" si="5"/>
        <v>1</v>
      </c>
      <c r="E75" s="52">
        <f t="shared" ref="E75:G75" si="20">+E43/$B43</f>
        <v>1</v>
      </c>
      <c r="F75" s="52">
        <f t="shared" si="20"/>
        <v>1</v>
      </c>
      <c r="G75" s="52">
        <f t="shared" si="20"/>
        <v>1</v>
      </c>
      <c r="H75" s="52">
        <f t="shared" ref="H75:Q75" si="21">+H43/$B43</f>
        <v>0.93333333333333335</v>
      </c>
      <c r="I75" s="52">
        <f t="shared" si="21"/>
        <v>0.93333333333333335</v>
      </c>
      <c r="J75" s="52">
        <f t="shared" si="21"/>
        <v>0.93333333333333335</v>
      </c>
      <c r="K75" s="52">
        <f t="shared" si="21"/>
        <v>0.93333333333333335</v>
      </c>
      <c r="L75" s="52">
        <f t="shared" si="21"/>
        <v>0.8666666666666667</v>
      </c>
      <c r="M75" s="52">
        <f t="shared" si="21"/>
        <v>0.8666666666666667</v>
      </c>
      <c r="N75" s="52">
        <f t="shared" si="21"/>
        <v>0.8666666666666667</v>
      </c>
      <c r="O75" s="52">
        <f t="shared" si="21"/>
        <v>0.8</v>
      </c>
      <c r="P75" s="52">
        <f t="shared" si="21"/>
        <v>0.73333333333333328</v>
      </c>
      <c r="Q75" s="52">
        <f t="shared" si="21"/>
        <v>0.73333333333333328</v>
      </c>
      <c r="R75" s="52"/>
      <c r="S75" s="52"/>
      <c r="T75" s="52"/>
      <c r="U75" s="52"/>
      <c r="V75" s="52"/>
      <c r="W75" s="52"/>
      <c r="X75" s="52"/>
      <c r="Y75" s="52"/>
      <c r="Z75" s="53"/>
    </row>
    <row r="76" spans="1:26" x14ac:dyDescent="0.3">
      <c r="A76" s="42">
        <v>43770</v>
      </c>
      <c r="B76" s="41">
        <v>13</v>
      </c>
      <c r="C76" s="51">
        <f t="shared" si="5"/>
        <v>1</v>
      </c>
      <c r="D76" s="52">
        <f t="shared" si="5"/>
        <v>1</v>
      </c>
      <c r="E76" s="52">
        <f t="shared" ref="E76:G76" si="22">+E44/$B44</f>
        <v>1</v>
      </c>
      <c r="F76" s="52">
        <f t="shared" si="22"/>
        <v>1</v>
      </c>
      <c r="G76" s="52">
        <f t="shared" si="22"/>
        <v>1</v>
      </c>
      <c r="H76" s="52">
        <f t="shared" ref="H76:P76" si="23">+H44/$B44</f>
        <v>0.92307692307692313</v>
      </c>
      <c r="I76" s="52">
        <f t="shared" si="23"/>
        <v>0.76923076923076927</v>
      </c>
      <c r="J76" s="52">
        <f t="shared" si="23"/>
        <v>0.76923076923076927</v>
      </c>
      <c r="K76" s="52">
        <f t="shared" si="23"/>
        <v>0.76923076923076927</v>
      </c>
      <c r="L76" s="52">
        <f t="shared" si="23"/>
        <v>0.76923076923076927</v>
      </c>
      <c r="M76" s="52">
        <f t="shared" si="23"/>
        <v>0.76923076923076927</v>
      </c>
      <c r="N76" s="52">
        <f t="shared" si="23"/>
        <v>0.76923076923076927</v>
      </c>
      <c r="O76" s="52">
        <f t="shared" si="23"/>
        <v>0.76923076923076927</v>
      </c>
      <c r="P76" s="52">
        <f t="shared" si="23"/>
        <v>0.69230769230769229</v>
      </c>
      <c r="Q76" s="52"/>
      <c r="R76" s="52"/>
      <c r="S76" s="52"/>
      <c r="T76" s="52"/>
      <c r="U76" s="52"/>
      <c r="V76" s="52"/>
      <c r="W76" s="52"/>
      <c r="X76" s="52"/>
      <c r="Y76" s="52"/>
      <c r="Z76" s="53"/>
    </row>
    <row r="77" spans="1:26" x14ac:dyDescent="0.3">
      <c r="A77" s="42">
        <v>43800</v>
      </c>
      <c r="B77" s="41">
        <v>6</v>
      </c>
      <c r="C77" s="51">
        <f t="shared" si="5"/>
        <v>1</v>
      </c>
      <c r="D77" s="52">
        <f t="shared" si="5"/>
        <v>1</v>
      </c>
      <c r="E77" s="52">
        <f t="shared" ref="E77:G77" si="24">+E45/$B45</f>
        <v>1</v>
      </c>
      <c r="F77" s="52">
        <f t="shared" si="24"/>
        <v>1</v>
      </c>
      <c r="G77" s="52">
        <f t="shared" si="24"/>
        <v>1</v>
      </c>
      <c r="H77" s="52">
        <f t="shared" ref="H77:O77" si="25">+H45/$B45</f>
        <v>1</v>
      </c>
      <c r="I77" s="52">
        <f t="shared" si="25"/>
        <v>1</v>
      </c>
      <c r="J77" s="52">
        <f t="shared" si="25"/>
        <v>1</v>
      </c>
      <c r="K77" s="52">
        <f t="shared" si="25"/>
        <v>1</v>
      </c>
      <c r="L77" s="52">
        <f t="shared" si="25"/>
        <v>1</v>
      </c>
      <c r="M77" s="52">
        <f t="shared" si="25"/>
        <v>1</v>
      </c>
      <c r="N77" s="52">
        <f t="shared" si="25"/>
        <v>1</v>
      </c>
      <c r="O77" s="52">
        <f t="shared" si="25"/>
        <v>1</v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</row>
    <row r="78" spans="1:26" x14ac:dyDescent="0.3">
      <c r="A78" s="42">
        <v>43831</v>
      </c>
      <c r="B78" s="41">
        <v>21</v>
      </c>
      <c r="C78" s="51">
        <f t="shared" si="5"/>
        <v>1</v>
      </c>
      <c r="D78" s="52">
        <f t="shared" si="5"/>
        <v>1</v>
      </c>
      <c r="E78" s="52">
        <f t="shared" ref="E78:G78" si="26">+E46/$B46</f>
        <v>1</v>
      </c>
      <c r="F78" s="52">
        <f t="shared" si="26"/>
        <v>1</v>
      </c>
      <c r="G78" s="52">
        <f t="shared" si="26"/>
        <v>1</v>
      </c>
      <c r="H78" s="52">
        <f t="shared" ref="H78:N78" si="27">+H46/$B46</f>
        <v>0.90476190476190477</v>
      </c>
      <c r="I78" s="52">
        <f t="shared" si="27"/>
        <v>0.90476190476190477</v>
      </c>
      <c r="J78" s="52">
        <f t="shared" si="27"/>
        <v>0.90476190476190477</v>
      </c>
      <c r="K78" s="52">
        <f t="shared" si="27"/>
        <v>0.8571428571428571</v>
      </c>
      <c r="L78" s="52">
        <f t="shared" si="27"/>
        <v>0.80952380952380953</v>
      </c>
      <c r="M78" s="52">
        <f t="shared" si="27"/>
        <v>0.76190476190476186</v>
      </c>
      <c r="N78" s="52">
        <f t="shared" si="27"/>
        <v>0.66666666666666663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</row>
    <row r="79" spans="1:26" x14ac:dyDescent="0.3">
      <c r="A79" s="42">
        <v>43862</v>
      </c>
      <c r="B79" s="41">
        <v>11</v>
      </c>
      <c r="C79" s="51">
        <f t="shared" si="5"/>
        <v>1</v>
      </c>
      <c r="D79" s="52">
        <f t="shared" si="5"/>
        <v>0.90909090909090906</v>
      </c>
      <c r="E79" s="52">
        <f t="shared" ref="E79:G79" si="28">+E47/$B47</f>
        <v>0.90909090909090906</v>
      </c>
      <c r="F79" s="52">
        <f t="shared" si="28"/>
        <v>0.90909090909090906</v>
      </c>
      <c r="G79" s="52">
        <f t="shared" si="28"/>
        <v>0.90909090909090906</v>
      </c>
      <c r="H79" s="52">
        <f t="shared" ref="H79:M79" si="29">+H47/$B47</f>
        <v>0.90909090909090906</v>
      </c>
      <c r="I79" s="52">
        <f t="shared" si="29"/>
        <v>0.90909090909090906</v>
      </c>
      <c r="J79" s="52">
        <f t="shared" si="29"/>
        <v>0.90909090909090906</v>
      </c>
      <c r="K79" s="52">
        <f t="shared" si="29"/>
        <v>0.90909090909090906</v>
      </c>
      <c r="L79" s="52">
        <f t="shared" si="29"/>
        <v>0.90909090909090906</v>
      </c>
      <c r="M79" s="52">
        <f t="shared" si="29"/>
        <v>0.81818181818181823</v>
      </c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</row>
    <row r="80" spans="1:26" x14ac:dyDescent="0.3">
      <c r="A80" s="42">
        <v>43891</v>
      </c>
      <c r="B80" s="41">
        <v>11</v>
      </c>
      <c r="C80" s="51">
        <f t="shared" si="5"/>
        <v>1</v>
      </c>
      <c r="D80" s="52">
        <f t="shared" si="5"/>
        <v>1</v>
      </c>
      <c r="E80" s="52">
        <f t="shared" ref="E80:G80" si="30">+E48/$B48</f>
        <v>1</v>
      </c>
      <c r="F80" s="52">
        <f t="shared" si="30"/>
        <v>0.72727272727272729</v>
      </c>
      <c r="G80" s="52">
        <f t="shared" si="30"/>
        <v>0.72727272727272729</v>
      </c>
      <c r="H80" s="52">
        <f t="shared" ref="H80:L80" si="31">+H48/$B48</f>
        <v>0.54545454545454541</v>
      </c>
      <c r="I80" s="52">
        <f t="shared" si="31"/>
        <v>0.45454545454545453</v>
      </c>
      <c r="J80" s="52">
        <f t="shared" si="31"/>
        <v>0.45454545454545453</v>
      </c>
      <c r="K80" s="52">
        <f t="shared" si="31"/>
        <v>0.45454545454545453</v>
      </c>
      <c r="L80" s="52">
        <f t="shared" si="31"/>
        <v>0.45454545454545453</v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</row>
    <row r="81" spans="1:26" x14ac:dyDescent="0.3">
      <c r="A81" s="42">
        <v>43922</v>
      </c>
      <c r="B81" s="41">
        <v>16</v>
      </c>
      <c r="C81" s="51">
        <f t="shared" si="5"/>
        <v>1</v>
      </c>
      <c r="D81" s="52">
        <f t="shared" si="5"/>
        <v>1</v>
      </c>
      <c r="E81" s="52">
        <f t="shared" ref="E81:G81" si="32">+E49/$B49</f>
        <v>0.9375</v>
      </c>
      <c r="F81" s="52">
        <f t="shared" si="32"/>
        <v>0.9375</v>
      </c>
      <c r="G81" s="52">
        <f t="shared" si="32"/>
        <v>0.9375</v>
      </c>
      <c r="H81" s="52">
        <f t="shared" ref="H81:K81" si="33">+H49/$B49</f>
        <v>0.875</v>
      </c>
      <c r="I81" s="52">
        <f t="shared" si="33"/>
        <v>0.875</v>
      </c>
      <c r="J81" s="52">
        <f t="shared" si="33"/>
        <v>0.875</v>
      </c>
      <c r="K81" s="52">
        <f t="shared" si="33"/>
        <v>0.875</v>
      </c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</row>
    <row r="82" spans="1:26" x14ac:dyDescent="0.3">
      <c r="A82" s="42">
        <v>43952</v>
      </c>
      <c r="B82" s="41">
        <v>25</v>
      </c>
      <c r="C82" s="51">
        <f t="shared" si="5"/>
        <v>1</v>
      </c>
      <c r="D82" s="52">
        <f t="shared" si="5"/>
        <v>0.96</v>
      </c>
      <c r="E82" s="52">
        <f t="shared" ref="E82:G82" si="34">+E50/$B50</f>
        <v>0.96</v>
      </c>
      <c r="F82" s="52">
        <f t="shared" si="34"/>
        <v>0.92</v>
      </c>
      <c r="G82" s="52">
        <f t="shared" si="34"/>
        <v>0.76</v>
      </c>
      <c r="H82" s="52">
        <f t="shared" ref="H82:J82" si="35">+H50/$B50</f>
        <v>0.68</v>
      </c>
      <c r="I82" s="52">
        <f t="shared" si="35"/>
        <v>0.64</v>
      </c>
      <c r="J82" s="52">
        <f t="shared" si="35"/>
        <v>0.64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</row>
    <row r="83" spans="1:26" x14ac:dyDescent="0.3">
      <c r="A83" s="42">
        <v>43983</v>
      </c>
      <c r="B83" s="41">
        <v>22</v>
      </c>
      <c r="C83" s="51">
        <f t="shared" si="5"/>
        <v>1</v>
      </c>
      <c r="D83" s="52">
        <f t="shared" si="5"/>
        <v>1</v>
      </c>
      <c r="E83" s="52">
        <f t="shared" ref="E83:G83" si="36">+E51/$B51</f>
        <v>1</v>
      </c>
      <c r="F83" s="52">
        <f t="shared" si="36"/>
        <v>0.90909090909090906</v>
      </c>
      <c r="G83" s="52">
        <f t="shared" si="36"/>
        <v>0.90909090909090906</v>
      </c>
      <c r="H83" s="52">
        <f t="shared" ref="H83:I83" si="37">+H51/$B51</f>
        <v>0.86363636363636365</v>
      </c>
      <c r="I83" s="52">
        <f t="shared" si="37"/>
        <v>0.72727272727272729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/>
    </row>
    <row r="84" spans="1:26" x14ac:dyDescent="0.3">
      <c r="A84" s="42">
        <v>44013</v>
      </c>
      <c r="B84" s="41">
        <v>21</v>
      </c>
      <c r="C84" s="51">
        <f t="shared" si="5"/>
        <v>1</v>
      </c>
      <c r="D84" s="52">
        <f t="shared" si="5"/>
        <v>1</v>
      </c>
      <c r="E84" s="52">
        <f t="shared" ref="E84:G84" si="38">+E52/$B52</f>
        <v>0.95238095238095233</v>
      </c>
      <c r="F84" s="52">
        <f t="shared" si="38"/>
        <v>0.95238095238095233</v>
      </c>
      <c r="G84" s="52">
        <f t="shared" si="38"/>
        <v>0.8571428571428571</v>
      </c>
      <c r="H84" s="52">
        <f t="shared" ref="H84" si="39">+H52/$B52</f>
        <v>0.8571428571428571</v>
      </c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/>
    </row>
    <row r="85" spans="1:26" x14ac:dyDescent="0.3">
      <c r="A85" s="42">
        <v>44044</v>
      </c>
      <c r="B85" s="41">
        <v>27</v>
      </c>
      <c r="C85" s="51">
        <f t="shared" si="5"/>
        <v>1</v>
      </c>
      <c r="D85" s="52">
        <f t="shared" si="5"/>
        <v>1</v>
      </c>
      <c r="E85" s="52">
        <f t="shared" ref="E85:G85" si="40">+E53/$B53</f>
        <v>1</v>
      </c>
      <c r="F85" s="52">
        <f t="shared" si="40"/>
        <v>0.92592592592592593</v>
      </c>
      <c r="G85" s="52">
        <f t="shared" si="40"/>
        <v>0.81481481481481477</v>
      </c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/>
    </row>
    <row r="86" spans="1:26" x14ac:dyDescent="0.3">
      <c r="A86" s="42">
        <v>44075</v>
      </c>
      <c r="B86" s="41">
        <v>5</v>
      </c>
      <c r="C86" s="51">
        <f t="shared" si="5"/>
        <v>1</v>
      </c>
      <c r="D86" s="52">
        <f t="shared" si="5"/>
        <v>1</v>
      </c>
      <c r="E86" s="52">
        <f t="shared" ref="E86:F86" si="41">+E54/$B54</f>
        <v>1</v>
      </c>
      <c r="F86" s="52">
        <f t="shared" si="41"/>
        <v>1</v>
      </c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/>
    </row>
    <row r="87" spans="1:26" x14ac:dyDescent="0.3">
      <c r="A87" s="42">
        <v>44105</v>
      </c>
      <c r="B87" s="41">
        <v>12</v>
      </c>
      <c r="C87" s="51">
        <f t="shared" si="5"/>
        <v>1</v>
      </c>
      <c r="D87" s="52">
        <f t="shared" si="5"/>
        <v>1</v>
      </c>
      <c r="E87" s="52">
        <f t="shared" ref="E87" si="42">+E55/$B55</f>
        <v>1</v>
      </c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3"/>
    </row>
    <row r="88" spans="1:26" x14ac:dyDescent="0.3">
      <c r="A88" s="42">
        <v>44136</v>
      </c>
      <c r="B88" s="41">
        <v>10</v>
      </c>
      <c r="C88" s="51">
        <f t="shared" si="5"/>
        <v>1</v>
      </c>
      <c r="D88" s="52">
        <f t="shared" si="5"/>
        <v>1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3"/>
    </row>
    <row r="89" spans="1:26" x14ac:dyDescent="0.3">
      <c r="A89" s="42">
        <v>44166</v>
      </c>
      <c r="B89" s="41">
        <v>16</v>
      </c>
      <c r="C89" s="51">
        <f t="shared" si="5"/>
        <v>1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3"/>
    </row>
    <row r="90" spans="1:26" ht="28.8" customHeight="1" x14ac:dyDescent="0.3">
      <c r="A90" s="81" t="s">
        <v>439</v>
      </c>
      <c r="B90" s="82"/>
      <c r="C90" s="47">
        <f>AVERAGE(C66:C89)</f>
        <v>1</v>
      </c>
      <c r="D90" s="47">
        <f>AVERAGE(D66:D89)</f>
        <v>0.98343873517786551</v>
      </c>
      <c r="E90" s="47">
        <f t="shared" ref="E90:Z90" si="43">AVERAGE(E66:E89)</f>
        <v>0.96133968304422845</v>
      </c>
      <c r="F90" s="47">
        <f t="shared" si="43"/>
        <v>0.92509558783368306</v>
      </c>
      <c r="G90" s="47">
        <f t="shared" si="43"/>
        <v>0.88575726588226578</v>
      </c>
      <c r="H90" s="47">
        <f t="shared" si="43"/>
        <v>0.84990211542843108</v>
      </c>
      <c r="I90" s="47">
        <f t="shared" si="43"/>
        <v>0.81172984422984429</v>
      </c>
      <c r="J90" s="47">
        <f t="shared" si="43"/>
        <v>0.79220867367926195</v>
      </c>
      <c r="K90" s="47">
        <f t="shared" si="43"/>
        <v>0.7825741966366967</v>
      </c>
      <c r="L90" s="47">
        <f t="shared" si="43"/>
        <v>0.74964812964812977</v>
      </c>
      <c r="M90" s="47">
        <f>AVERAGE(M66:M89)</f>
        <v>0.75433851862423307</v>
      </c>
      <c r="N90" s="47">
        <f t="shared" si="43"/>
        <v>0.74210148825533451</v>
      </c>
      <c r="O90" s="47">
        <f t="shared" si="43"/>
        <v>0.69806721056721066</v>
      </c>
      <c r="P90" s="47">
        <f t="shared" si="43"/>
        <v>0.64930069930069934</v>
      </c>
      <c r="Q90" s="47">
        <f t="shared" si="43"/>
        <v>0.60653846153846147</v>
      </c>
      <c r="R90" s="47">
        <f t="shared" si="43"/>
        <v>0.57380212380212381</v>
      </c>
      <c r="S90" s="47">
        <f t="shared" si="43"/>
        <v>0.57166375291375293</v>
      </c>
      <c r="T90" s="47">
        <f t="shared" si="43"/>
        <v>0.54618714618714626</v>
      </c>
      <c r="U90" s="47">
        <f t="shared" si="43"/>
        <v>0.53348873348873349</v>
      </c>
      <c r="V90" s="47">
        <f t="shared" si="43"/>
        <v>0.51571095571095582</v>
      </c>
      <c r="W90" s="47">
        <f t="shared" si="43"/>
        <v>0.50652680652680648</v>
      </c>
      <c r="X90" s="47">
        <f t="shared" si="43"/>
        <v>0.51981351981351975</v>
      </c>
      <c r="Y90" s="47">
        <f t="shared" si="43"/>
        <v>0.62587412587412583</v>
      </c>
      <c r="Z90" s="92">
        <f t="shared" si="43"/>
        <v>0.63636363636363635</v>
      </c>
    </row>
  </sheetData>
  <mergeCells count="2">
    <mergeCell ref="A90:B90"/>
    <mergeCell ref="A58:B58"/>
  </mergeCells>
  <conditionalFormatting sqref="C66:Z90">
    <cfRule type="colorScale" priority="1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1"/>
  <sheetViews>
    <sheetView workbookViewId="0">
      <selection activeCell="F18" sqref="F18"/>
    </sheetView>
  </sheetViews>
  <sheetFormatPr baseColWidth="10" defaultRowHeight="14.4" x14ac:dyDescent="0.3"/>
  <cols>
    <col min="1" max="1" width="17.44140625" bestFit="1" customWidth="1"/>
    <col min="2" max="2" width="15.109375" bestFit="1" customWidth="1"/>
    <col min="3" max="3" width="14" bestFit="1" customWidth="1"/>
    <col min="4" max="4" width="17.88671875" bestFit="1" customWidth="1"/>
    <col min="5" max="5" width="15.77734375" bestFit="1" customWidth="1"/>
    <col min="6" max="6" width="25.77734375" bestFit="1" customWidth="1"/>
    <col min="7" max="7" width="14.33203125" bestFit="1" customWidth="1"/>
    <col min="8" max="12" width="9.88671875" bestFit="1" customWidth="1"/>
    <col min="13" max="15" width="9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423</v>
      </c>
      <c r="E1" s="1" t="s">
        <v>421</v>
      </c>
      <c r="F1" s="1" t="s">
        <v>3</v>
      </c>
      <c r="G1" s="1" t="s">
        <v>422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</row>
    <row r="2" spans="1:15" x14ac:dyDescent="0.3">
      <c r="A2" s="1" t="s">
        <v>28</v>
      </c>
      <c r="B2" s="1" t="s">
        <v>29</v>
      </c>
      <c r="C2" s="2">
        <v>43466</v>
      </c>
      <c r="D2" s="1" t="s">
        <v>424</v>
      </c>
      <c r="E2" s="1" t="s">
        <v>360</v>
      </c>
      <c r="F2" s="2"/>
      <c r="G2" s="1"/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</row>
    <row r="3" spans="1:15" x14ac:dyDescent="0.3">
      <c r="A3" s="1" t="s">
        <v>30</v>
      </c>
      <c r="B3" s="1" t="s">
        <v>31</v>
      </c>
      <c r="C3" s="2">
        <v>43466</v>
      </c>
      <c r="D3" s="1" t="s">
        <v>424</v>
      </c>
      <c r="E3" s="1" t="s">
        <v>360</v>
      </c>
      <c r="F3" s="2">
        <v>43525</v>
      </c>
      <c r="G3" s="1" t="s">
        <v>360</v>
      </c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32</v>
      </c>
      <c r="B4" s="1" t="s">
        <v>31</v>
      </c>
      <c r="C4" s="2">
        <v>43466</v>
      </c>
      <c r="D4" s="1" t="s">
        <v>424</v>
      </c>
      <c r="E4" s="1" t="s">
        <v>360</v>
      </c>
      <c r="F4" s="2">
        <v>43678</v>
      </c>
      <c r="G4" s="1" t="s">
        <v>362</v>
      </c>
      <c r="H4" s="1">
        <v>1</v>
      </c>
      <c r="I4" s="1">
        <v>1</v>
      </c>
      <c r="J4" s="1"/>
      <c r="K4" s="1"/>
      <c r="L4" s="1"/>
      <c r="M4" s="1"/>
      <c r="N4" s="1"/>
      <c r="O4" s="1"/>
    </row>
    <row r="5" spans="1:15" x14ac:dyDescent="0.3">
      <c r="A5" s="1" t="s">
        <v>33</v>
      </c>
      <c r="B5" s="1" t="s">
        <v>29</v>
      </c>
      <c r="C5" s="2">
        <v>43466</v>
      </c>
      <c r="D5" s="1" t="s">
        <v>424</v>
      </c>
      <c r="E5" s="1" t="s">
        <v>360</v>
      </c>
      <c r="F5" s="2"/>
      <c r="G5" s="1"/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</row>
    <row r="6" spans="1:15" x14ac:dyDescent="0.3">
      <c r="A6" s="1" t="s">
        <v>34</v>
      </c>
      <c r="B6" s="1" t="s">
        <v>29</v>
      </c>
      <c r="C6" s="2">
        <v>43466</v>
      </c>
      <c r="D6" s="1" t="s">
        <v>424</v>
      </c>
      <c r="E6" s="1" t="s">
        <v>360</v>
      </c>
      <c r="F6" s="2"/>
      <c r="G6" s="1"/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</row>
    <row r="7" spans="1:15" x14ac:dyDescent="0.3">
      <c r="A7" s="1" t="s">
        <v>35</v>
      </c>
      <c r="B7" s="1" t="s">
        <v>31</v>
      </c>
      <c r="C7" s="2">
        <v>43466</v>
      </c>
      <c r="D7" s="1" t="s">
        <v>424</v>
      </c>
      <c r="E7" s="1" t="s">
        <v>360</v>
      </c>
      <c r="F7" s="2">
        <v>44075</v>
      </c>
      <c r="G7" s="1" t="s">
        <v>366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/>
      <c r="O7" s="1"/>
    </row>
    <row r="8" spans="1:15" x14ac:dyDescent="0.3">
      <c r="A8" s="1" t="s">
        <v>36</v>
      </c>
      <c r="B8" s="1" t="s">
        <v>29</v>
      </c>
      <c r="C8" s="2">
        <v>43466</v>
      </c>
      <c r="D8" s="1" t="s">
        <v>424</v>
      </c>
      <c r="E8" s="1" t="s">
        <v>360</v>
      </c>
      <c r="F8" s="2"/>
      <c r="G8" s="1"/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</row>
    <row r="9" spans="1:15" x14ac:dyDescent="0.3">
      <c r="A9" s="1" t="s">
        <v>37</v>
      </c>
      <c r="B9" s="1" t="s">
        <v>29</v>
      </c>
      <c r="C9" s="2">
        <v>43466</v>
      </c>
      <c r="D9" s="1" t="s">
        <v>424</v>
      </c>
      <c r="E9" s="1" t="s">
        <v>360</v>
      </c>
      <c r="F9" s="2"/>
      <c r="G9" s="1"/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</row>
    <row r="10" spans="1:15" x14ac:dyDescent="0.3">
      <c r="A10" s="1" t="s">
        <v>38</v>
      </c>
      <c r="B10" s="1" t="s">
        <v>31</v>
      </c>
      <c r="C10" s="2">
        <v>43466</v>
      </c>
      <c r="D10" s="1" t="s">
        <v>424</v>
      </c>
      <c r="E10" s="1" t="s">
        <v>360</v>
      </c>
      <c r="F10" s="2">
        <v>43709</v>
      </c>
      <c r="G10" s="1" t="s">
        <v>362</v>
      </c>
      <c r="H10" s="1">
        <v>1</v>
      </c>
      <c r="I10" s="1">
        <v>1</v>
      </c>
      <c r="J10" s="1"/>
      <c r="K10" s="1"/>
      <c r="L10" s="1"/>
      <c r="M10" s="1"/>
      <c r="N10" s="1"/>
      <c r="O10" s="1"/>
    </row>
    <row r="11" spans="1:15" x14ac:dyDescent="0.3">
      <c r="A11" s="1" t="s">
        <v>39</v>
      </c>
      <c r="B11" s="1" t="s">
        <v>29</v>
      </c>
      <c r="C11" s="2">
        <v>43466</v>
      </c>
      <c r="D11" s="1" t="s">
        <v>424</v>
      </c>
      <c r="E11" s="1" t="s">
        <v>360</v>
      </c>
      <c r="F11" s="2"/>
      <c r="G11" s="1"/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</row>
    <row r="12" spans="1:15" x14ac:dyDescent="0.3">
      <c r="A12" s="1" t="s">
        <v>40</v>
      </c>
      <c r="B12" s="1" t="s">
        <v>29</v>
      </c>
      <c r="C12" s="2">
        <v>43466</v>
      </c>
      <c r="D12" s="1" t="s">
        <v>424</v>
      </c>
      <c r="E12" s="1" t="s">
        <v>360</v>
      </c>
      <c r="F12" s="2"/>
      <c r="G12" s="1"/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</row>
    <row r="13" spans="1:15" x14ac:dyDescent="0.3">
      <c r="A13" s="1" t="s">
        <v>41</v>
      </c>
      <c r="B13" s="1" t="s">
        <v>31</v>
      </c>
      <c r="C13" s="2">
        <v>43497</v>
      </c>
      <c r="D13" s="1" t="s">
        <v>424</v>
      </c>
      <c r="E13" s="1" t="s">
        <v>360</v>
      </c>
      <c r="F13" s="2">
        <v>43739</v>
      </c>
      <c r="G13" s="1" t="s">
        <v>363</v>
      </c>
      <c r="H13" s="1">
        <v>1</v>
      </c>
      <c r="I13" s="1">
        <v>1</v>
      </c>
      <c r="J13" s="1">
        <v>1</v>
      </c>
      <c r="K13" s="1"/>
      <c r="L13" s="1"/>
      <c r="M13" s="1"/>
      <c r="N13" s="1"/>
      <c r="O13" s="1"/>
    </row>
    <row r="14" spans="1:15" x14ac:dyDescent="0.3">
      <c r="A14" s="1" t="s">
        <v>42</v>
      </c>
      <c r="B14" s="1" t="s">
        <v>31</v>
      </c>
      <c r="C14" s="2">
        <v>43497</v>
      </c>
      <c r="D14" s="1" t="s">
        <v>424</v>
      </c>
      <c r="E14" s="1" t="s">
        <v>360</v>
      </c>
      <c r="F14" s="2">
        <v>43556</v>
      </c>
      <c r="G14" s="1" t="s">
        <v>361</v>
      </c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3">
      <c r="A15" s="1" t="s">
        <v>43</v>
      </c>
      <c r="B15" s="1" t="s">
        <v>31</v>
      </c>
      <c r="C15" s="2">
        <v>43497</v>
      </c>
      <c r="D15" s="1" t="s">
        <v>424</v>
      </c>
      <c r="E15" s="1" t="s">
        <v>360</v>
      </c>
      <c r="F15" s="2">
        <v>43617</v>
      </c>
      <c r="G15" s="1" t="s">
        <v>361</v>
      </c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3">
      <c r="A16" s="1" t="s">
        <v>44</v>
      </c>
      <c r="B16" s="1" t="s">
        <v>29</v>
      </c>
      <c r="C16" s="2">
        <v>43497</v>
      </c>
      <c r="D16" s="1" t="s">
        <v>424</v>
      </c>
      <c r="E16" s="1" t="s">
        <v>360</v>
      </c>
      <c r="F16" s="2"/>
      <c r="G16" s="1"/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</row>
    <row r="17" spans="1:15" x14ac:dyDescent="0.3">
      <c r="A17" s="1" t="s">
        <v>45</v>
      </c>
      <c r="B17" s="1" t="s">
        <v>29</v>
      </c>
      <c r="C17" s="2">
        <v>43497</v>
      </c>
      <c r="D17" s="1" t="s">
        <v>424</v>
      </c>
      <c r="E17" s="1" t="s">
        <v>360</v>
      </c>
      <c r="F17" s="2"/>
      <c r="G17" s="1"/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</row>
    <row r="18" spans="1:15" x14ac:dyDescent="0.3">
      <c r="A18" s="1" t="s">
        <v>46</v>
      </c>
      <c r="B18" s="1" t="s">
        <v>29</v>
      </c>
      <c r="C18" s="2">
        <v>43497</v>
      </c>
      <c r="D18" s="1" t="s">
        <v>424</v>
      </c>
      <c r="E18" s="1" t="s">
        <v>360</v>
      </c>
      <c r="F18" s="2"/>
      <c r="G18" s="1"/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</row>
    <row r="19" spans="1:15" x14ac:dyDescent="0.3">
      <c r="A19" s="1" t="s">
        <v>47</v>
      </c>
      <c r="B19" s="1" t="s">
        <v>31</v>
      </c>
      <c r="C19" s="2">
        <v>43497</v>
      </c>
      <c r="D19" s="1" t="s">
        <v>424</v>
      </c>
      <c r="E19" s="1" t="s">
        <v>360</v>
      </c>
      <c r="F19" s="2">
        <v>43770</v>
      </c>
      <c r="G19" s="1" t="s">
        <v>363</v>
      </c>
      <c r="H19" s="1">
        <v>1</v>
      </c>
      <c r="I19" s="1">
        <v>1</v>
      </c>
      <c r="J19" s="1">
        <v>1</v>
      </c>
      <c r="K19" s="1"/>
      <c r="L19" s="1"/>
      <c r="M19" s="1"/>
      <c r="N19" s="1"/>
      <c r="O19" s="1"/>
    </row>
    <row r="20" spans="1:15" x14ac:dyDescent="0.3">
      <c r="A20" s="1" t="s">
        <v>48</v>
      </c>
      <c r="B20" s="1" t="s">
        <v>29</v>
      </c>
      <c r="C20" s="2">
        <v>43497</v>
      </c>
      <c r="D20" s="1" t="s">
        <v>424</v>
      </c>
      <c r="E20" s="1" t="s">
        <v>360</v>
      </c>
      <c r="F20" s="2"/>
      <c r="G20" s="1"/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</row>
    <row r="21" spans="1:15" x14ac:dyDescent="0.3">
      <c r="A21" s="1" t="s">
        <v>49</v>
      </c>
      <c r="B21" s="1" t="s">
        <v>31</v>
      </c>
      <c r="C21" s="2">
        <v>43497</v>
      </c>
      <c r="D21" s="1" t="s">
        <v>424</v>
      </c>
      <c r="E21" s="1" t="s">
        <v>360</v>
      </c>
      <c r="F21" s="2">
        <v>43586</v>
      </c>
      <c r="G21" s="1" t="s">
        <v>361</v>
      </c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50</v>
      </c>
      <c r="B22" s="1" t="s">
        <v>29</v>
      </c>
      <c r="C22" s="2">
        <v>43497</v>
      </c>
      <c r="D22" s="1" t="s">
        <v>424</v>
      </c>
      <c r="E22" s="1" t="s">
        <v>360</v>
      </c>
      <c r="F22" s="2"/>
      <c r="G22" s="1"/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</row>
    <row r="23" spans="1:15" x14ac:dyDescent="0.3">
      <c r="A23" s="1" t="s">
        <v>51</v>
      </c>
      <c r="B23" s="1" t="s">
        <v>29</v>
      </c>
      <c r="C23" s="2">
        <v>43497</v>
      </c>
      <c r="D23" s="1" t="s">
        <v>424</v>
      </c>
      <c r="E23" s="1" t="s">
        <v>360</v>
      </c>
      <c r="F23" s="2"/>
      <c r="G23" s="1"/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</row>
    <row r="24" spans="1:15" x14ac:dyDescent="0.3">
      <c r="A24" s="1" t="s">
        <v>52</v>
      </c>
      <c r="B24" s="1" t="s">
        <v>29</v>
      </c>
      <c r="C24" s="2">
        <v>43497</v>
      </c>
      <c r="D24" s="1" t="s">
        <v>424</v>
      </c>
      <c r="E24" s="1" t="s">
        <v>360</v>
      </c>
      <c r="F24" s="2"/>
      <c r="G24" s="1"/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</row>
    <row r="25" spans="1:15" x14ac:dyDescent="0.3">
      <c r="A25" s="1" t="s">
        <v>53</v>
      </c>
      <c r="B25" s="1" t="s">
        <v>29</v>
      </c>
      <c r="C25" s="2">
        <v>43497</v>
      </c>
      <c r="D25" s="1" t="s">
        <v>424</v>
      </c>
      <c r="E25" s="1" t="s">
        <v>360</v>
      </c>
      <c r="F25" s="2"/>
      <c r="G25" s="1"/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</row>
    <row r="26" spans="1:15" x14ac:dyDescent="0.3">
      <c r="A26" s="1" t="s">
        <v>54</v>
      </c>
      <c r="B26" s="1" t="s">
        <v>31</v>
      </c>
      <c r="C26" s="2">
        <v>43525</v>
      </c>
      <c r="D26" s="1" t="s">
        <v>424</v>
      </c>
      <c r="E26" s="1" t="s">
        <v>360</v>
      </c>
      <c r="F26" s="2">
        <v>43891</v>
      </c>
      <c r="G26" s="1" t="s">
        <v>364</v>
      </c>
      <c r="H26" s="1">
        <v>1</v>
      </c>
      <c r="I26" s="1">
        <v>1</v>
      </c>
      <c r="J26" s="1">
        <v>1</v>
      </c>
      <c r="K26" s="1">
        <v>1</v>
      </c>
      <c r="L26" s="1"/>
      <c r="M26" s="1"/>
      <c r="N26" s="1"/>
      <c r="O26" s="1"/>
    </row>
    <row r="27" spans="1:15" x14ac:dyDescent="0.3">
      <c r="A27" s="1" t="s">
        <v>55</v>
      </c>
      <c r="B27" s="1" t="s">
        <v>29</v>
      </c>
      <c r="C27" s="2">
        <v>43525</v>
      </c>
      <c r="D27" s="1" t="s">
        <v>424</v>
      </c>
      <c r="E27" s="1" t="s">
        <v>360</v>
      </c>
      <c r="F27" s="2"/>
      <c r="G27" s="1"/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</row>
    <row r="28" spans="1:15" x14ac:dyDescent="0.3">
      <c r="A28" s="1" t="s">
        <v>56</v>
      </c>
      <c r="B28" s="1" t="s">
        <v>31</v>
      </c>
      <c r="C28" s="2">
        <v>43525</v>
      </c>
      <c r="D28" s="1" t="s">
        <v>424</v>
      </c>
      <c r="E28" s="1" t="s">
        <v>360</v>
      </c>
      <c r="F28" s="2">
        <v>43739</v>
      </c>
      <c r="G28" s="1" t="s">
        <v>363</v>
      </c>
      <c r="H28" s="1">
        <v>1</v>
      </c>
      <c r="I28" s="1">
        <v>1</v>
      </c>
      <c r="J28" s="1">
        <v>1</v>
      </c>
      <c r="K28" s="1"/>
      <c r="L28" s="1"/>
      <c r="M28" s="1"/>
      <c r="N28" s="1"/>
      <c r="O28" s="1"/>
    </row>
    <row r="29" spans="1:15" x14ac:dyDescent="0.3">
      <c r="A29" s="1" t="s">
        <v>57</v>
      </c>
      <c r="B29" s="1" t="s">
        <v>31</v>
      </c>
      <c r="C29" s="2">
        <v>43525</v>
      </c>
      <c r="D29" s="1" t="s">
        <v>424</v>
      </c>
      <c r="E29" s="1" t="s">
        <v>360</v>
      </c>
      <c r="F29" s="2">
        <v>44105</v>
      </c>
      <c r="G29" s="1" t="s">
        <v>367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/>
    </row>
    <row r="30" spans="1:15" x14ac:dyDescent="0.3">
      <c r="A30" s="1" t="s">
        <v>58</v>
      </c>
      <c r="B30" s="1" t="s">
        <v>31</v>
      </c>
      <c r="C30" s="2">
        <v>43525</v>
      </c>
      <c r="D30" s="1" t="s">
        <v>424</v>
      </c>
      <c r="E30" s="1" t="s">
        <v>360</v>
      </c>
      <c r="F30" s="2">
        <v>44075</v>
      </c>
      <c r="G30" s="1" t="s">
        <v>366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/>
      <c r="O30" s="1"/>
    </row>
    <row r="31" spans="1:15" x14ac:dyDescent="0.3">
      <c r="A31" s="1" t="s">
        <v>59</v>
      </c>
      <c r="B31" s="1" t="s">
        <v>31</v>
      </c>
      <c r="C31" s="2">
        <v>43525</v>
      </c>
      <c r="D31" s="1" t="s">
        <v>424</v>
      </c>
      <c r="E31" s="1" t="s">
        <v>360</v>
      </c>
      <c r="F31" s="2">
        <v>43983</v>
      </c>
      <c r="G31" s="1" t="s">
        <v>365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/>
      <c r="N31" s="1"/>
      <c r="O31" s="1"/>
    </row>
    <row r="32" spans="1:15" x14ac:dyDescent="0.3">
      <c r="A32" s="1" t="s">
        <v>60</v>
      </c>
      <c r="B32" s="1" t="s">
        <v>31</v>
      </c>
      <c r="C32" s="2">
        <v>43525</v>
      </c>
      <c r="D32" s="1" t="s">
        <v>424</v>
      </c>
      <c r="E32" s="1" t="s">
        <v>360</v>
      </c>
      <c r="F32" s="2">
        <v>43709</v>
      </c>
      <c r="G32" s="1" t="s">
        <v>362</v>
      </c>
      <c r="H32" s="1">
        <v>1</v>
      </c>
      <c r="I32" s="1">
        <v>1</v>
      </c>
      <c r="J32" s="1"/>
      <c r="K32" s="1"/>
      <c r="L32" s="1"/>
      <c r="M32" s="1"/>
      <c r="N32" s="1"/>
      <c r="O32" s="1"/>
    </row>
    <row r="33" spans="1:15" x14ac:dyDescent="0.3">
      <c r="A33" s="1" t="s">
        <v>61</v>
      </c>
      <c r="B33" s="1" t="s">
        <v>31</v>
      </c>
      <c r="C33" s="2">
        <v>43525</v>
      </c>
      <c r="D33" s="1" t="s">
        <v>424</v>
      </c>
      <c r="E33" s="1" t="s">
        <v>360</v>
      </c>
      <c r="F33" s="2">
        <v>43952</v>
      </c>
      <c r="G33" s="1" t="s">
        <v>365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/>
      <c r="N33" s="1"/>
      <c r="O33" s="1"/>
    </row>
    <row r="34" spans="1:15" x14ac:dyDescent="0.3">
      <c r="A34" s="1" t="s">
        <v>62</v>
      </c>
      <c r="B34" s="1" t="s">
        <v>29</v>
      </c>
      <c r="C34" s="2">
        <v>43525</v>
      </c>
      <c r="D34" s="1" t="s">
        <v>424</v>
      </c>
      <c r="E34" s="1" t="s">
        <v>360</v>
      </c>
      <c r="F34" s="2"/>
      <c r="G34" s="1"/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</row>
    <row r="35" spans="1:15" x14ac:dyDescent="0.3">
      <c r="A35" s="1" t="s">
        <v>63</v>
      </c>
      <c r="B35" s="1" t="s">
        <v>29</v>
      </c>
      <c r="C35" s="2">
        <v>43525</v>
      </c>
      <c r="D35" s="1" t="s">
        <v>424</v>
      </c>
      <c r="E35" s="1" t="s">
        <v>360</v>
      </c>
      <c r="F35" s="2"/>
      <c r="G35" s="1"/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</row>
    <row r="36" spans="1:15" x14ac:dyDescent="0.3">
      <c r="A36" s="1" t="s">
        <v>64</v>
      </c>
      <c r="B36" s="1" t="s">
        <v>31</v>
      </c>
      <c r="C36" s="2">
        <v>43525</v>
      </c>
      <c r="D36" s="1" t="s">
        <v>424</v>
      </c>
      <c r="E36" s="1" t="s">
        <v>360</v>
      </c>
      <c r="F36" s="2">
        <v>43952</v>
      </c>
      <c r="G36" s="1" t="s">
        <v>365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/>
      <c r="N36" s="1"/>
      <c r="O36" s="1"/>
    </row>
    <row r="37" spans="1:15" x14ac:dyDescent="0.3">
      <c r="A37" s="1" t="s">
        <v>65</v>
      </c>
      <c r="B37" s="1" t="s">
        <v>31</v>
      </c>
      <c r="C37" s="2">
        <v>43525</v>
      </c>
      <c r="D37" s="1" t="s">
        <v>424</v>
      </c>
      <c r="E37" s="1" t="s">
        <v>360</v>
      </c>
      <c r="F37" s="2">
        <v>43952</v>
      </c>
      <c r="G37" s="1" t="s">
        <v>365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/>
      <c r="N37" s="1"/>
      <c r="O37" s="1"/>
    </row>
    <row r="38" spans="1:15" x14ac:dyDescent="0.3">
      <c r="A38" s="1" t="s">
        <v>66</v>
      </c>
      <c r="B38" s="1" t="s">
        <v>29</v>
      </c>
      <c r="C38" s="2">
        <v>43525</v>
      </c>
      <c r="D38" s="1" t="s">
        <v>424</v>
      </c>
      <c r="E38" s="1" t="s">
        <v>360</v>
      </c>
      <c r="F38" s="2"/>
      <c r="G38" s="1"/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</row>
    <row r="39" spans="1:15" x14ac:dyDescent="0.3">
      <c r="A39" s="1" t="s">
        <v>67</v>
      </c>
      <c r="B39" s="1" t="s">
        <v>31</v>
      </c>
      <c r="C39" s="2">
        <v>43556</v>
      </c>
      <c r="D39" s="1" t="s">
        <v>424</v>
      </c>
      <c r="E39" s="1" t="s">
        <v>361</v>
      </c>
      <c r="F39" s="2">
        <v>43770</v>
      </c>
      <c r="G39" s="1" t="s">
        <v>363</v>
      </c>
      <c r="H39" s="1"/>
      <c r="I39" s="1">
        <v>1</v>
      </c>
      <c r="J39" s="1">
        <v>1</v>
      </c>
      <c r="K39" s="1"/>
      <c r="L39" s="1"/>
      <c r="M39" s="1"/>
      <c r="N39" s="1"/>
      <c r="O39" s="1"/>
    </row>
    <row r="40" spans="1:15" x14ac:dyDescent="0.3">
      <c r="A40" s="1" t="s">
        <v>68</v>
      </c>
      <c r="B40" s="1" t="s">
        <v>29</v>
      </c>
      <c r="C40" s="2">
        <v>43556</v>
      </c>
      <c r="D40" s="1" t="s">
        <v>424</v>
      </c>
      <c r="E40" s="1" t="s">
        <v>361</v>
      </c>
      <c r="F40" s="2"/>
      <c r="G40" s="1"/>
      <c r="H40" s="1"/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</row>
    <row r="41" spans="1:15" x14ac:dyDescent="0.3">
      <c r="A41" s="1" t="s">
        <v>69</v>
      </c>
      <c r="B41" s="1" t="s">
        <v>29</v>
      </c>
      <c r="C41" s="2">
        <v>43556</v>
      </c>
      <c r="D41" s="1" t="s">
        <v>424</v>
      </c>
      <c r="E41" s="1" t="s">
        <v>361</v>
      </c>
      <c r="F41" s="2"/>
      <c r="G41" s="1"/>
      <c r="H41" s="1"/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</row>
    <row r="42" spans="1:15" x14ac:dyDescent="0.3">
      <c r="A42" s="1" t="s">
        <v>70</v>
      </c>
      <c r="B42" s="1" t="s">
        <v>29</v>
      </c>
      <c r="C42" s="2">
        <v>43556</v>
      </c>
      <c r="D42" s="1" t="s">
        <v>424</v>
      </c>
      <c r="E42" s="1" t="s">
        <v>361</v>
      </c>
      <c r="F42" s="2"/>
      <c r="G42" s="1"/>
      <c r="H42" s="1"/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</row>
    <row r="43" spans="1:15" x14ac:dyDescent="0.3">
      <c r="A43" s="1" t="s">
        <v>71</v>
      </c>
      <c r="B43" s="1" t="s">
        <v>31</v>
      </c>
      <c r="C43" s="2">
        <v>43556</v>
      </c>
      <c r="D43" s="1" t="s">
        <v>424</v>
      </c>
      <c r="E43" s="1" t="s">
        <v>361</v>
      </c>
      <c r="F43" s="2">
        <v>43709</v>
      </c>
      <c r="G43" s="1" t="s">
        <v>362</v>
      </c>
      <c r="H43" s="1"/>
      <c r="I43" s="1">
        <v>1</v>
      </c>
      <c r="J43" s="1"/>
      <c r="K43" s="1"/>
      <c r="L43" s="1"/>
      <c r="M43" s="1"/>
      <c r="N43" s="1"/>
      <c r="O43" s="1"/>
    </row>
    <row r="44" spans="1:15" x14ac:dyDescent="0.3">
      <c r="A44" s="1" t="s">
        <v>72</v>
      </c>
      <c r="B44" s="1" t="s">
        <v>31</v>
      </c>
      <c r="C44" s="2">
        <v>43556</v>
      </c>
      <c r="D44" s="1" t="s">
        <v>424</v>
      </c>
      <c r="E44" s="1" t="s">
        <v>361</v>
      </c>
      <c r="F44" s="2">
        <v>43922</v>
      </c>
      <c r="G44" s="1" t="s">
        <v>365</v>
      </c>
      <c r="H44" s="1"/>
      <c r="I44" s="1">
        <v>1</v>
      </c>
      <c r="J44" s="1">
        <v>1</v>
      </c>
      <c r="K44" s="1">
        <v>1</v>
      </c>
      <c r="L44" s="1">
        <v>1</v>
      </c>
      <c r="M44" s="1"/>
      <c r="N44" s="1"/>
      <c r="O44" s="1"/>
    </row>
    <row r="45" spans="1:15" x14ac:dyDescent="0.3">
      <c r="A45" s="1" t="s">
        <v>73</v>
      </c>
      <c r="B45" s="1" t="s">
        <v>31</v>
      </c>
      <c r="C45" s="2">
        <v>43556</v>
      </c>
      <c r="D45" s="1" t="s">
        <v>424</v>
      </c>
      <c r="E45" s="1" t="s">
        <v>361</v>
      </c>
      <c r="F45" s="2">
        <v>43617</v>
      </c>
      <c r="G45" s="1" t="s">
        <v>361</v>
      </c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 t="s">
        <v>74</v>
      </c>
      <c r="B46" s="1" t="s">
        <v>31</v>
      </c>
      <c r="C46" s="2">
        <v>43556</v>
      </c>
      <c r="D46" s="1" t="s">
        <v>424</v>
      </c>
      <c r="E46" s="1" t="s">
        <v>361</v>
      </c>
      <c r="F46" s="2">
        <v>43922</v>
      </c>
      <c r="G46" s="1" t="s">
        <v>365</v>
      </c>
      <c r="H46" s="1"/>
      <c r="I46" s="1">
        <v>1</v>
      </c>
      <c r="J46" s="1">
        <v>1</v>
      </c>
      <c r="K46" s="1">
        <v>1</v>
      </c>
      <c r="L46" s="1">
        <v>1</v>
      </c>
      <c r="M46" s="1"/>
      <c r="N46" s="1"/>
      <c r="O46" s="1"/>
    </row>
    <row r="47" spans="1:15" x14ac:dyDescent="0.3">
      <c r="A47" s="1" t="s">
        <v>75</v>
      </c>
      <c r="B47" s="1" t="s">
        <v>29</v>
      </c>
      <c r="C47" s="2">
        <v>43556</v>
      </c>
      <c r="D47" s="1" t="s">
        <v>424</v>
      </c>
      <c r="E47" s="1" t="s">
        <v>361</v>
      </c>
      <c r="F47" s="2"/>
      <c r="G47" s="1"/>
      <c r="H47" s="1"/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</row>
    <row r="48" spans="1:15" x14ac:dyDescent="0.3">
      <c r="A48" s="1" t="s">
        <v>76</v>
      </c>
      <c r="B48" s="1" t="s">
        <v>31</v>
      </c>
      <c r="C48" s="2">
        <v>43556</v>
      </c>
      <c r="D48" s="1" t="s">
        <v>424</v>
      </c>
      <c r="E48" s="1" t="s">
        <v>361</v>
      </c>
      <c r="F48" s="2">
        <v>43831</v>
      </c>
      <c r="G48" s="1" t="s">
        <v>364</v>
      </c>
      <c r="H48" s="1"/>
      <c r="I48" s="1">
        <v>1</v>
      </c>
      <c r="J48" s="1">
        <v>1</v>
      </c>
      <c r="K48" s="1">
        <v>1</v>
      </c>
      <c r="L48" s="1"/>
      <c r="M48" s="1"/>
      <c r="N48" s="1"/>
      <c r="O48" s="1"/>
    </row>
    <row r="49" spans="1:15" x14ac:dyDescent="0.3">
      <c r="A49" s="1" t="s">
        <v>77</v>
      </c>
      <c r="B49" s="1" t="s">
        <v>31</v>
      </c>
      <c r="C49" s="2">
        <v>43556</v>
      </c>
      <c r="D49" s="1" t="s">
        <v>424</v>
      </c>
      <c r="E49" s="1" t="s">
        <v>361</v>
      </c>
      <c r="F49" s="2">
        <v>43831</v>
      </c>
      <c r="G49" s="1" t="s">
        <v>364</v>
      </c>
      <c r="H49" s="1"/>
      <c r="I49" s="1">
        <v>1</v>
      </c>
      <c r="J49" s="1">
        <v>1</v>
      </c>
      <c r="K49" s="1">
        <v>1</v>
      </c>
      <c r="L49" s="1"/>
      <c r="M49" s="1"/>
      <c r="N49" s="1"/>
      <c r="O49" s="1"/>
    </row>
    <row r="50" spans="1:15" x14ac:dyDescent="0.3">
      <c r="A50" s="1" t="s">
        <v>78</v>
      </c>
      <c r="B50" s="1" t="s">
        <v>29</v>
      </c>
      <c r="C50" s="2">
        <v>43556</v>
      </c>
      <c r="D50" s="1" t="s">
        <v>424</v>
      </c>
      <c r="E50" s="1" t="s">
        <v>361</v>
      </c>
      <c r="F50" s="2"/>
      <c r="G50" s="1"/>
      <c r="H50" s="1"/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</row>
    <row r="51" spans="1:15" x14ac:dyDescent="0.3">
      <c r="A51" s="1" t="s">
        <v>79</v>
      </c>
      <c r="B51" s="1" t="s">
        <v>31</v>
      </c>
      <c r="C51" s="2">
        <v>43556</v>
      </c>
      <c r="D51" s="1" t="s">
        <v>424</v>
      </c>
      <c r="E51" s="1" t="s">
        <v>361</v>
      </c>
      <c r="F51" s="2">
        <v>43678</v>
      </c>
      <c r="G51" s="1" t="s">
        <v>362</v>
      </c>
      <c r="H51" s="1"/>
      <c r="I51" s="1">
        <v>1</v>
      </c>
      <c r="J51" s="1"/>
      <c r="K51" s="1"/>
      <c r="L51" s="1"/>
      <c r="M51" s="1"/>
      <c r="N51" s="1"/>
      <c r="O51" s="1"/>
    </row>
    <row r="52" spans="1:15" x14ac:dyDescent="0.3">
      <c r="A52" s="1" t="s">
        <v>80</v>
      </c>
      <c r="B52" s="1" t="s">
        <v>29</v>
      </c>
      <c r="C52" s="2">
        <v>43556</v>
      </c>
      <c r="D52" s="1" t="s">
        <v>424</v>
      </c>
      <c r="E52" s="1" t="s">
        <v>361</v>
      </c>
      <c r="F52" s="2"/>
      <c r="G52" s="1"/>
      <c r="H52" s="1"/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</row>
    <row r="53" spans="1:15" x14ac:dyDescent="0.3">
      <c r="A53" s="1" t="s">
        <v>81</v>
      </c>
      <c r="B53" s="1" t="s">
        <v>29</v>
      </c>
      <c r="C53" s="2">
        <v>43556</v>
      </c>
      <c r="D53" s="1" t="s">
        <v>424</v>
      </c>
      <c r="E53" s="1" t="s">
        <v>361</v>
      </c>
      <c r="F53" s="2"/>
      <c r="G53" s="1"/>
      <c r="H53" s="1"/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</row>
    <row r="54" spans="1:15" x14ac:dyDescent="0.3">
      <c r="A54" s="1" t="s">
        <v>82</v>
      </c>
      <c r="B54" s="1" t="s">
        <v>31</v>
      </c>
      <c r="C54" s="2">
        <v>43586</v>
      </c>
      <c r="D54" s="1" t="s">
        <v>424</v>
      </c>
      <c r="E54" s="1" t="s">
        <v>361</v>
      </c>
      <c r="F54" s="2">
        <v>43739</v>
      </c>
      <c r="G54" s="1" t="s">
        <v>363</v>
      </c>
      <c r="H54" s="1"/>
      <c r="I54" s="1">
        <v>1</v>
      </c>
      <c r="J54" s="1">
        <v>1</v>
      </c>
      <c r="K54" s="1"/>
      <c r="L54" s="1"/>
      <c r="M54" s="1"/>
      <c r="N54" s="1"/>
      <c r="O54" s="1"/>
    </row>
    <row r="55" spans="1:15" x14ac:dyDescent="0.3">
      <c r="A55" s="1" t="s">
        <v>83</v>
      </c>
      <c r="B55" s="1" t="s">
        <v>31</v>
      </c>
      <c r="C55" s="2">
        <v>43586</v>
      </c>
      <c r="D55" s="1" t="s">
        <v>424</v>
      </c>
      <c r="E55" s="1" t="s">
        <v>361</v>
      </c>
      <c r="F55" s="2">
        <v>43678</v>
      </c>
      <c r="G55" s="1" t="s">
        <v>362</v>
      </c>
      <c r="H55" s="1"/>
      <c r="I55" s="1">
        <v>1</v>
      </c>
      <c r="J55" s="1"/>
      <c r="K55" s="1"/>
      <c r="L55" s="1"/>
      <c r="M55" s="1"/>
      <c r="N55" s="1"/>
      <c r="O55" s="1"/>
    </row>
    <row r="56" spans="1:15" x14ac:dyDescent="0.3">
      <c r="A56" s="1" t="s">
        <v>84</v>
      </c>
      <c r="B56" s="1" t="s">
        <v>31</v>
      </c>
      <c r="C56" s="2">
        <v>43586</v>
      </c>
      <c r="D56" s="1" t="s">
        <v>424</v>
      </c>
      <c r="E56" s="1" t="s">
        <v>361</v>
      </c>
      <c r="F56" s="2">
        <v>44013</v>
      </c>
      <c r="G56" s="1" t="s">
        <v>366</v>
      </c>
      <c r="H56" s="1"/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/>
      <c r="O56" s="1"/>
    </row>
    <row r="57" spans="1:15" x14ac:dyDescent="0.3">
      <c r="A57" s="1" t="s">
        <v>85</v>
      </c>
      <c r="B57" s="1" t="s">
        <v>29</v>
      </c>
      <c r="C57" s="2">
        <v>43586</v>
      </c>
      <c r="D57" s="1" t="s">
        <v>424</v>
      </c>
      <c r="E57" s="1" t="s">
        <v>361</v>
      </c>
      <c r="F57" s="2"/>
      <c r="G57" s="1"/>
      <c r="H57" s="1"/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</row>
    <row r="58" spans="1:15" x14ac:dyDescent="0.3">
      <c r="A58" s="1" t="s">
        <v>86</v>
      </c>
      <c r="B58" s="1" t="s">
        <v>29</v>
      </c>
      <c r="C58" s="2">
        <v>43586</v>
      </c>
      <c r="D58" s="1" t="s">
        <v>424</v>
      </c>
      <c r="E58" s="1" t="s">
        <v>361</v>
      </c>
      <c r="F58" s="2"/>
      <c r="G58" s="1"/>
      <c r="H58" s="1"/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</row>
    <row r="59" spans="1:15" x14ac:dyDescent="0.3">
      <c r="A59" s="1" t="s">
        <v>87</v>
      </c>
      <c r="B59" s="1" t="s">
        <v>31</v>
      </c>
      <c r="C59" s="2">
        <v>43586</v>
      </c>
      <c r="D59" s="1" t="s">
        <v>424</v>
      </c>
      <c r="E59" s="1" t="s">
        <v>361</v>
      </c>
      <c r="F59" s="2">
        <v>43709</v>
      </c>
      <c r="G59" s="1" t="s">
        <v>362</v>
      </c>
      <c r="H59" s="1"/>
      <c r="I59" s="1">
        <v>1</v>
      </c>
      <c r="J59" s="1"/>
      <c r="K59" s="1"/>
      <c r="L59" s="1"/>
      <c r="M59" s="1"/>
      <c r="N59" s="1"/>
      <c r="O59" s="1"/>
    </row>
    <row r="60" spans="1:15" x14ac:dyDescent="0.3">
      <c r="A60" s="1" t="s">
        <v>88</v>
      </c>
      <c r="B60" s="1" t="s">
        <v>31</v>
      </c>
      <c r="C60" s="2">
        <v>43586</v>
      </c>
      <c r="D60" s="1" t="s">
        <v>424</v>
      </c>
      <c r="E60" s="1" t="s">
        <v>361</v>
      </c>
      <c r="F60" s="2">
        <v>43952</v>
      </c>
      <c r="G60" s="1" t="s">
        <v>365</v>
      </c>
      <c r="H60" s="1"/>
      <c r="I60" s="1">
        <v>1</v>
      </c>
      <c r="J60" s="1">
        <v>1</v>
      </c>
      <c r="K60" s="1">
        <v>1</v>
      </c>
      <c r="L60" s="1">
        <v>1</v>
      </c>
      <c r="M60" s="1"/>
      <c r="N60" s="1"/>
      <c r="O60" s="1"/>
    </row>
    <row r="61" spans="1:15" x14ac:dyDescent="0.3">
      <c r="A61" s="1" t="s">
        <v>89</v>
      </c>
      <c r="B61" s="1" t="s">
        <v>31</v>
      </c>
      <c r="C61" s="2">
        <v>43586</v>
      </c>
      <c r="D61" s="1" t="s">
        <v>424</v>
      </c>
      <c r="E61" s="1" t="s">
        <v>361</v>
      </c>
      <c r="F61" s="2">
        <v>44013</v>
      </c>
      <c r="G61" s="1" t="s">
        <v>366</v>
      </c>
      <c r="H61" s="1"/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/>
      <c r="O61" s="1"/>
    </row>
    <row r="62" spans="1:15" x14ac:dyDescent="0.3">
      <c r="A62" s="1" t="s">
        <v>90</v>
      </c>
      <c r="B62" s="1" t="s">
        <v>29</v>
      </c>
      <c r="C62" s="2">
        <v>43586</v>
      </c>
      <c r="D62" s="1" t="s">
        <v>424</v>
      </c>
      <c r="E62" s="1" t="s">
        <v>361</v>
      </c>
      <c r="F62" s="2"/>
      <c r="G62" s="1"/>
      <c r="H62" s="1"/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</row>
    <row r="63" spans="1:15" x14ac:dyDescent="0.3">
      <c r="A63" s="1" t="s">
        <v>91</v>
      </c>
      <c r="B63" s="1" t="s">
        <v>29</v>
      </c>
      <c r="C63" s="2">
        <v>43586</v>
      </c>
      <c r="D63" s="1" t="s">
        <v>424</v>
      </c>
      <c r="E63" s="1" t="s">
        <v>361</v>
      </c>
      <c r="F63" s="2"/>
      <c r="G63" s="1"/>
      <c r="H63" s="1"/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</row>
    <row r="64" spans="1:15" x14ac:dyDescent="0.3">
      <c r="A64" s="1" t="s">
        <v>92</v>
      </c>
      <c r="B64" s="1" t="s">
        <v>31</v>
      </c>
      <c r="C64" s="2">
        <v>43586</v>
      </c>
      <c r="D64" s="1" t="s">
        <v>424</v>
      </c>
      <c r="E64" s="1" t="s">
        <v>361</v>
      </c>
      <c r="F64" s="2">
        <v>43862</v>
      </c>
      <c r="G64" s="1" t="s">
        <v>364</v>
      </c>
      <c r="H64" s="1"/>
      <c r="I64" s="1">
        <v>1</v>
      </c>
      <c r="J64" s="1">
        <v>1</v>
      </c>
      <c r="K64" s="1">
        <v>1</v>
      </c>
      <c r="L64" s="1"/>
      <c r="M64" s="1"/>
      <c r="N64" s="1"/>
      <c r="O64" s="1"/>
    </row>
    <row r="65" spans="1:15" x14ac:dyDescent="0.3">
      <c r="A65" s="1" t="s">
        <v>93</v>
      </c>
      <c r="B65" s="1" t="s">
        <v>29</v>
      </c>
      <c r="C65" s="2">
        <v>43586</v>
      </c>
      <c r="D65" s="1" t="s">
        <v>424</v>
      </c>
      <c r="E65" s="1" t="s">
        <v>361</v>
      </c>
      <c r="F65" s="2"/>
      <c r="G65" s="1"/>
      <c r="H65" s="1"/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</row>
    <row r="66" spans="1:15" x14ac:dyDescent="0.3">
      <c r="A66" s="1" t="s">
        <v>94</v>
      </c>
      <c r="B66" s="1" t="s">
        <v>29</v>
      </c>
      <c r="C66" s="2">
        <v>43586</v>
      </c>
      <c r="D66" s="1" t="s">
        <v>424</v>
      </c>
      <c r="E66" s="1" t="s">
        <v>361</v>
      </c>
      <c r="F66" s="2"/>
      <c r="G66" s="1"/>
      <c r="H66" s="1"/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</row>
    <row r="67" spans="1:15" x14ac:dyDescent="0.3">
      <c r="A67" s="1" t="s">
        <v>95</v>
      </c>
      <c r="B67" s="1" t="s">
        <v>31</v>
      </c>
      <c r="C67" s="2">
        <v>43617</v>
      </c>
      <c r="D67" s="1" t="s">
        <v>424</v>
      </c>
      <c r="E67" s="1" t="s">
        <v>361</v>
      </c>
      <c r="F67" s="2">
        <v>43800</v>
      </c>
      <c r="G67" s="1" t="s">
        <v>363</v>
      </c>
      <c r="H67" s="1"/>
      <c r="I67" s="1">
        <v>1</v>
      </c>
      <c r="J67" s="1">
        <v>1</v>
      </c>
      <c r="K67" s="1"/>
      <c r="L67" s="1"/>
      <c r="M67" s="1"/>
      <c r="N67" s="1"/>
      <c r="O67" s="1"/>
    </row>
    <row r="68" spans="1:15" x14ac:dyDescent="0.3">
      <c r="A68" s="1" t="s">
        <v>96</v>
      </c>
      <c r="B68" s="1" t="s">
        <v>31</v>
      </c>
      <c r="C68" s="2">
        <v>43617</v>
      </c>
      <c r="D68" s="1" t="s">
        <v>424</v>
      </c>
      <c r="E68" s="1" t="s">
        <v>361</v>
      </c>
      <c r="F68" s="2">
        <v>43709</v>
      </c>
      <c r="G68" s="1" t="s">
        <v>362</v>
      </c>
      <c r="H68" s="1"/>
      <c r="I68" s="1">
        <v>1</v>
      </c>
      <c r="J68" s="1"/>
      <c r="K68" s="1"/>
      <c r="L68" s="1"/>
      <c r="M68" s="1"/>
      <c r="N68" s="1"/>
      <c r="O68" s="1"/>
    </row>
    <row r="69" spans="1:15" x14ac:dyDescent="0.3">
      <c r="A69" s="1" t="s">
        <v>97</v>
      </c>
      <c r="B69" s="1" t="s">
        <v>31</v>
      </c>
      <c r="C69" s="2">
        <v>43617</v>
      </c>
      <c r="D69" s="1" t="s">
        <v>424</v>
      </c>
      <c r="E69" s="1" t="s">
        <v>361</v>
      </c>
      <c r="F69" s="2">
        <v>43862</v>
      </c>
      <c r="G69" s="1" t="s">
        <v>364</v>
      </c>
      <c r="H69" s="1"/>
      <c r="I69" s="1">
        <v>1</v>
      </c>
      <c r="J69" s="1">
        <v>1</v>
      </c>
      <c r="K69" s="1">
        <v>1</v>
      </c>
      <c r="L69" s="1"/>
      <c r="M69" s="1"/>
      <c r="N69" s="1"/>
      <c r="O69" s="1"/>
    </row>
    <row r="70" spans="1:15" x14ac:dyDescent="0.3">
      <c r="A70" s="1" t="s">
        <v>98</v>
      </c>
      <c r="B70" s="1" t="s">
        <v>31</v>
      </c>
      <c r="C70" s="2">
        <v>43617</v>
      </c>
      <c r="D70" s="1" t="s">
        <v>424</v>
      </c>
      <c r="E70" s="1" t="s">
        <v>361</v>
      </c>
      <c r="F70" s="2">
        <v>44075</v>
      </c>
      <c r="G70" s="1" t="s">
        <v>366</v>
      </c>
      <c r="H70" s="1"/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/>
      <c r="O70" s="1"/>
    </row>
    <row r="71" spans="1:15" x14ac:dyDescent="0.3">
      <c r="A71" s="1" t="s">
        <v>99</v>
      </c>
      <c r="B71" s="1" t="s">
        <v>29</v>
      </c>
      <c r="C71" s="2">
        <v>43617</v>
      </c>
      <c r="D71" s="1" t="s">
        <v>424</v>
      </c>
      <c r="E71" s="1" t="s">
        <v>361</v>
      </c>
      <c r="F71" s="2"/>
      <c r="G71" s="1"/>
      <c r="H71" s="1"/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</row>
    <row r="72" spans="1:15" x14ac:dyDescent="0.3">
      <c r="A72" s="1" t="s">
        <v>100</v>
      </c>
      <c r="B72" s="1" t="s">
        <v>29</v>
      </c>
      <c r="C72" s="2">
        <v>43617</v>
      </c>
      <c r="D72" s="1" t="s">
        <v>424</v>
      </c>
      <c r="E72" s="1" t="s">
        <v>361</v>
      </c>
      <c r="F72" s="2"/>
      <c r="G72" s="1"/>
      <c r="H72" s="1"/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</row>
    <row r="73" spans="1:15" x14ac:dyDescent="0.3">
      <c r="A73" s="1" t="s">
        <v>101</v>
      </c>
      <c r="B73" s="1" t="s">
        <v>29</v>
      </c>
      <c r="C73" s="2">
        <v>43617</v>
      </c>
      <c r="D73" s="1" t="s">
        <v>424</v>
      </c>
      <c r="E73" s="1" t="s">
        <v>361</v>
      </c>
      <c r="F73" s="2"/>
      <c r="G73" s="1"/>
      <c r="H73" s="1"/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</row>
    <row r="74" spans="1:15" x14ac:dyDescent="0.3">
      <c r="A74" s="1" t="s">
        <v>102</v>
      </c>
      <c r="B74" s="1" t="s">
        <v>29</v>
      </c>
      <c r="C74" s="2">
        <v>43617</v>
      </c>
      <c r="D74" s="1" t="s">
        <v>424</v>
      </c>
      <c r="E74" s="1" t="s">
        <v>361</v>
      </c>
      <c r="F74" s="2"/>
      <c r="G74" s="1"/>
      <c r="H74" s="1"/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</row>
    <row r="75" spans="1:15" x14ac:dyDescent="0.3">
      <c r="A75" s="1" t="s">
        <v>103</v>
      </c>
      <c r="B75" s="1" t="s">
        <v>31</v>
      </c>
      <c r="C75" s="2">
        <v>43617</v>
      </c>
      <c r="D75" s="1" t="s">
        <v>424</v>
      </c>
      <c r="E75" s="1" t="s">
        <v>361</v>
      </c>
      <c r="F75" s="2">
        <v>44166</v>
      </c>
      <c r="G75" s="1" t="s">
        <v>367</v>
      </c>
      <c r="H75" s="1"/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/>
    </row>
    <row r="76" spans="1:15" x14ac:dyDescent="0.3">
      <c r="A76" s="1" t="s">
        <v>104</v>
      </c>
      <c r="B76" s="1" t="s">
        <v>29</v>
      </c>
      <c r="C76" s="2">
        <v>43617</v>
      </c>
      <c r="D76" s="1" t="s">
        <v>424</v>
      </c>
      <c r="E76" s="1" t="s">
        <v>361</v>
      </c>
      <c r="F76" s="2"/>
      <c r="G76" s="1"/>
      <c r="H76" s="1"/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</row>
    <row r="77" spans="1:15" x14ac:dyDescent="0.3">
      <c r="A77" s="1" t="s">
        <v>105</v>
      </c>
      <c r="B77" s="1" t="s">
        <v>29</v>
      </c>
      <c r="C77" s="2">
        <v>43617</v>
      </c>
      <c r="D77" s="1" t="s">
        <v>424</v>
      </c>
      <c r="E77" s="1" t="s">
        <v>361</v>
      </c>
      <c r="F77" s="2"/>
      <c r="G77" s="1"/>
      <c r="H77" s="1"/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</row>
    <row r="78" spans="1:15" x14ac:dyDescent="0.3">
      <c r="A78" s="1" t="s">
        <v>106</v>
      </c>
      <c r="B78" s="1" t="s">
        <v>31</v>
      </c>
      <c r="C78" s="2">
        <v>43647</v>
      </c>
      <c r="D78" s="1" t="s">
        <v>424</v>
      </c>
      <c r="E78" s="1" t="s">
        <v>362</v>
      </c>
      <c r="F78" s="2">
        <v>43952</v>
      </c>
      <c r="G78" s="1" t="s">
        <v>365</v>
      </c>
      <c r="H78" s="1"/>
      <c r="I78" s="1"/>
      <c r="J78" s="1">
        <v>1</v>
      </c>
      <c r="K78" s="1">
        <v>1</v>
      </c>
      <c r="L78" s="1">
        <v>1</v>
      </c>
      <c r="M78" s="1"/>
      <c r="N78" s="1"/>
      <c r="O78" s="1"/>
    </row>
    <row r="79" spans="1:15" x14ac:dyDescent="0.3">
      <c r="A79" s="1" t="s">
        <v>107</v>
      </c>
      <c r="B79" s="1" t="s">
        <v>31</v>
      </c>
      <c r="C79" s="2">
        <v>43647</v>
      </c>
      <c r="D79" s="1" t="s">
        <v>424</v>
      </c>
      <c r="E79" s="1" t="s">
        <v>362</v>
      </c>
      <c r="F79" s="2">
        <v>43831</v>
      </c>
      <c r="G79" s="1" t="s">
        <v>364</v>
      </c>
      <c r="H79" s="1"/>
      <c r="I79" s="1"/>
      <c r="J79" s="1">
        <v>1</v>
      </c>
      <c r="K79" s="1">
        <v>1</v>
      </c>
      <c r="L79" s="1"/>
      <c r="M79" s="1"/>
      <c r="N79" s="1"/>
      <c r="O79" s="1"/>
    </row>
    <row r="80" spans="1:15" x14ac:dyDescent="0.3">
      <c r="A80" s="1" t="s">
        <v>108</v>
      </c>
      <c r="B80" s="1" t="s">
        <v>31</v>
      </c>
      <c r="C80" s="2">
        <v>43647</v>
      </c>
      <c r="D80" s="1" t="s">
        <v>424</v>
      </c>
      <c r="E80" s="1" t="s">
        <v>362</v>
      </c>
      <c r="F80" s="2">
        <v>44044</v>
      </c>
      <c r="G80" s="1" t="s">
        <v>366</v>
      </c>
      <c r="H80" s="1"/>
      <c r="I80" s="1"/>
      <c r="J80" s="1">
        <v>1</v>
      </c>
      <c r="K80" s="1">
        <v>1</v>
      </c>
      <c r="L80" s="1">
        <v>1</v>
      </c>
      <c r="M80" s="1">
        <v>1</v>
      </c>
      <c r="N80" s="1"/>
      <c r="O80" s="1"/>
    </row>
    <row r="81" spans="1:15" x14ac:dyDescent="0.3">
      <c r="A81" s="1" t="s">
        <v>109</v>
      </c>
      <c r="B81" s="1" t="s">
        <v>29</v>
      </c>
      <c r="C81" s="2">
        <v>43647</v>
      </c>
      <c r="D81" s="1" t="s">
        <v>424</v>
      </c>
      <c r="E81" s="1" t="s">
        <v>362</v>
      </c>
      <c r="F81" s="2"/>
      <c r="G81" s="1"/>
      <c r="H81" s="1"/>
      <c r="I81" s="1"/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</row>
    <row r="82" spans="1:15" x14ac:dyDescent="0.3">
      <c r="A82" s="1" t="s">
        <v>110</v>
      </c>
      <c r="B82" s="1" t="s">
        <v>29</v>
      </c>
      <c r="C82" s="2">
        <v>43647</v>
      </c>
      <c r="D82" s="1" t="s">
        <v>424</v>
      </c>
      <c r="E82" s="1" t="s">
        <v>362</v>
      </c>
      <c r="F82" s="2"/>
      <c r="G82" s="1"/>
      <c r="H82" s="1"/>
      <c r="I82" s="1"/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</row>
    <row r="83" spans="1:15" x14ac:dyDescent="0.3">
      <c r="A83" s="1" t="s">
        <v>111</v>
      </c>
      <c r="B83" s="1" t="s">
        <v>31</v>
      </c>
      <c r="C83" s="2">
        <v>43647</v>
      </c>
      <c r="D83" s="1" t="s">
        <v>424</v>
      </c>
      <c r="E83" s="1" t="s">
        <v>362</v>
      </c>
      <c r="F83" s="2">
        <v>43862</v>
      </c>
      <c r="G83" s="1" t="s">
        <v>364</v>
      </c>
      <c r="H83" s="1"/>
      <c r="I83" s="1"/>
      <c r="J83" s="1">
        <v>1</v>
      </c>
      <c r="K83" s="1">
        <v>1</v>
      </c>
      <c r="L83" s="1"/>
      <c r="M83" s="1"/>
      <c r="N83" s="1"/>
      <c r="O83" s="1"/>
    </row>
    <row r="84" spans="1:15" x14ac:dyDescent="0.3">
      <c r="A84" s="1" t="s">
        <v>112</v>
      </c>
      <c r="B84" s="1" t="s">
        <v>31</v>
      </c>
      <c r="C84" s="2">
        <v>43647</v>
      </c>
      <c r="D84" s="1" t="s">
        <v>424</v>
      </c>
      <c r="E84" s="1" t="s">
        <v>362</v>
      </c>
      <c r="F84" s="2">
        <v>43862</v>
      </c>
      <c r="G84" s="1" t="s">
        <v>364</v>
      </c>
      <c r="H84" s="1"/>
      <c r="I84" s="1"/>
      <c r="J84" s="1">
        <v>1</v>
      </c>
      <c r="K84" s="1">
        <v>1</v>
      </c>
      <c r="L84" s="1"/>
      <c r="M84" s="1"/>
      <c r="N84" s="1"/>
      <c r="O84" s="1"/>
    </row>
    <row r="85" spans="1:15" x14ac:dyDescent="0.3">
      <c r="A85" s="1" t="s">
        <v>113</v>
      </c>
      <c r="B85" s="1" t="s">
        <v>29</v>
      </c>
      <c r="C85" s="2">
        <v>43647</v>
      </c>
      <c r="D85" s="1" t="s">
        <v>424</v>
      </c>
      <c r="E85" s="1" t="s">
        <v>362</v>
      </c>
      <c r="F85" s="2"/>
      <c r="G85" s="1"/>
      <c r="H85" s="1"/>
      <c r="I85" s="1"/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</row>
    <row r="86" spans="1:15" x14ac:dyDescent="0.3">
      <c r="A86" s="1" t="s">
        <v>114</v>
      </c>
      <c r="B86" s="1" t="s">
        <v>29</v>
      </c>
      <c r="C86" s="2">
        <v>43647</v>
      </c>
      <c r="D86" s="1" t="s">
        <v>424</v>
      </c>
      <c r="E86" s="1" t="s">
        <v>362</v>
      </c>
      <c r="F86" s="2"/>
      <c r="G86" s="1"/>
      <c r="H86" s="1"/>
      <c r="I86" s="1"/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</row>
    <row r="87" spans="1:15" x14ac:dyDescent="0.3">
      <c r="A87" s="1" t="s">
        <v>115</v>
      </c>
      <c r="B87" s="1" t="s">
        <v>31</v>
      </c>
      <c r="C87" s="2">
        <v>43647</v>
      </c>
      <c r="D87" s="1" t="s">
        <v>424</v>
      </c>
      <c r="E87" s="1" t="s">
        <v>362</v>
      </c>
      <c r="F87" s="2">
        <v>44136</v>
      </c>
      <c r="G87" s="1" t="s">
        <v>367</v>
      </c>
      <c r="H87" s="1"/>
      <c r="I87" s="1"/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/>
    </row>
    <row r="88" spans="1:15" x14ac:dyDescent="0.3">
      <c r="A88" s="1" t="s">
        <v>116</v>
      </c>
      <c r="B88" s="1" t="s">
        <v>29</v>
      </c>
      <c r="C88" s="2">
        <v>43647</v>
      </c>
      <c r="D88" s="1" t="s">
        <v>424</v>
      </c>
      <c r="E88" s="1" t="s">
        <v>362</v>
      </c>
      <c r="F88" s="2"/>
      <c r="G88" s="1"/>
      <c r="H88" s="1"/>
      <c r="I88" s="1"/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</row>
    <row r="89" spans="1:15" x14ac:dyDescent="0.3">
      <c r="A89" s="1" t="s">
        <v>117</v>
      </c>
      <c r="B89" s="1" t="s">
        <v>29</v>
      </c>
      <c r="C89" s="2">
        <v>43678</v>
      </c>
      <c r="D89" s="1" t="s">
        <v>424</v>
      </c>
      <c r="E89" s="1" t="s">
        <v>362</v>
      </c>
      <c r="F89" s="2"/>
      <c r="G89" s="1"/>
      <c r="H89" s="1"/>
      <c r="I89" s="1"/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</row>
    <row r="90" spans="1:15" x14ac:dyDescent="0.3">
      <c r="A90" s="1" t="s">
        <v>118</v>
      </c>
      <c r="B90" s="1" t="s">
        <v>31</v>
      </c>
      <c r="C90" s="2">
        <v>43678</v>
      </c>
      <c r="D90" s="1" t="s">
        <v>424</v>
      </c>
      <c r="E90" s="1" t="s">
        <v>362</v>
      </c>
      <c r="F90" s="2">
        <v>43709</v>
      </c>
      <c r="G90" s="1" t="s">
        <v>362</v>
      </c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 t="s">
        <v>119</v>
      </c>
      <c r="B91" s="1" t="s">
        <v>29</v>
      </c>
      <c r="C91" s="2">
        <v>43678</v>
      </c>
      <c r="D91" s="1" t="s">
        <v>424</v>
      </c>
      <c r="E91" s="1" t="s">
        <v>362</v>
      </c>
      <c r="F91" s="2"/>
      <c r="G91" s="1"/>
      <c r="H91" s="1"/>
      <c r="I91" s="1"/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</row>
    <row r="92" spans="1:15" x14ac:dyDescent="0.3">
      <c r="A92" s="1" t="s">
        <v>120</v>
      </c>
      <c r="B92" s="1" t="s">
        <v>29</v>
      </c>
      <c r="C92" s="2">
        <v>43678</v>
      </c>
      <c r="D92" s="1" t="s">
        <v>424</v>
      </c>
      <c r="E92" s="1" t="s">
        <v>362</v>
      </c>
      <c r="F92" s="2"/>
      <c r="G92" s="1"/>
      <c r="H92" s="1"/>
      <c r="I92" s="1"/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</row>
    <row r="93" spans="1:15" x14ac:dyDescent="0.3">
      <c r="A93" s="1" t="s">
        <v>121</v>
      </c>
      <c r="B93" s="1" t="s">
        <v>31</v>
      </c>
      <c r="C93" s="2">
        <v>43709</v>
      </c>
      <c r="D93" s="1" t="s">
        <v>424</v>
      </c>
      <c r="E93" s="1" t="s">
        <v>362</v>
      </c>
      <c r="F93" s="2">
        <v>44075</v>
      </c>
      <c r="G93" s="1" t="s">
        <v>366</v>
      </c>
      <c r="H93" s="1"/>
      <c r="I93" s="1"/>
      <c r="J93" s="1">
        <v>1</v>
      </c>
      <c r="K93" s="1">
        <v>1</v>
      </c>
      <c r="L93" s="1">
        <v>1</v>
      </c>
      <c r="M93" s="1">
        <v>1</v>
      </c>
      <c r="N93" s="1"/>
      <c r="O93" s="1"/>
    </row>
    <row r="94" spans="1:15" x14ac:dyDescent="0.3">
      <c r="A94" s="1" t="s">
        <v>122</v>
      </c>
      <c r="B94" s="1" t="s">
        <v>29</v>
      </c>
      <c r="C94" s="2">
        <v>43709</v>
      </c>
      <c r="D94" s="1" t="s">
        <v>424</v>
      </c>
      <c r="E94" s="1" t="s">
        <v>362</v>
      </c>
      <c r="F94" s="2"/>
      <c r="G94" s="1"/>
      <c r="H94" s="1"/>
      <c r="I94" s="1"/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</row>
    <row r="95" spans="1:15" x14ac:dyDescent="0.3">
      <c r="A95" s="1" t="s">
        <v>123</v>
      </c>
      <c r="B95" s="1" t="s">
        <v>31</v>
      </c>
      <c r="C95" s="2">
        <v>43709</v>
      </c>
      <c r="D95" s="1" t="s">
        <v>424</v>
      </c>
      <c r="E95" s="1" t="s">
        <v>362</v>
      </c>
      <c r="F95" s="2">
        <v>43831</v>
      </c>
      <c r="G95" s="1" t="s">
        <v>364</v>
      </c>
      <c r="H95" s="1"/>
      <c r="I95" s="1"/>
      <c r="J95" s="1">
        <v>1</v>
      </c>
      <c r="K95" s="1">
        <v>1</v>
      </c>
      <c r="L95" s="1"/>
      <c r="M95" s="1"/>
      <c r="N95" s="1"/>
      <c r="O95" s="1"/>
    </row>
    <row r="96" spans="1:15" x14ac:dyDescent="0.3">
      <c r="A96" s="1" t="s">
        <v>124</v>
      </c>
      <c r="B96" s="1" t="s">
        <v>29</v>
      </c>
      <c r="C96" s="2">
        <v>43709</v>
      </c>
      <c r="D96" s="1" t="s">
        <v>424</v>
      </c>
      <c r="E96" s="1" t="s">
        <v>362</v>
      </c>
      <c r="F96" s="2"/>
      <c r="G96" s="1"/>
      <c r="H96" s="1"/>
      <c r="I96" s="1"/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</row>
    <row r="97" spans="1:15" x14ac:dyDescent="0.3">
      <c r="A97" s="1" t="s">
        <v>125</v>
      </c>
      <c r="B97" s="1" t="s">
        <v>31</v>
      </c>
      <c r="C97" s="2">
        <v>43709</v>
      </c>
      <c r="D97" s="1" t="s">
        <v>424</v>
      </c>
      <c r="E97" s="1" t="s">
        <v>362</v>
      </c>
      <c r="F97" s="2">
        <v>43770</v>
      </c>
      <c r="G97" s="1" t="s">
        <v>363</v>
      </c>
      <c r="H97" s="1"/>
      <c r="I97" s="1"/>
      <c r="J97" s="1">
        <v>1</v>
      </c>
      <c r="K97" s="1"/>
      <c r="L97" s="1"/>
      <c r="M97" s="1"/>
      <c r="N97" s="1"/>
      <c r="O97" s="1"/>
    </row>
    <row r="98" spans="1:15" x14ac:dyDescent="0.3">
      <c r="A98" s="1" t="s">
        <v>126</v>
      </c>
      <c r="B98" s="1" t="s">
        <v>31</v>
      </c>
      <c r="C98" s="2">
        <v>43709</v>
      </c>
      <c r="D98" s="1" t="s">
        <v>424</v>
      </c>
      <c r="E98" s="1" t="s">
        <v>362</v>
      </c>
      <c r="F98" s="2">
        <v>44075</v>
      </c>
      <c r="G98" s="1" t="s">
        <v>366</v>
      </c>
      <c r="H98" s="1"/>
      <c r="I98" s="1"/>
      <c r="J98" s="1">
        <v>1</v>
      </c>
      <c r="K98" s="1">
        <v>1</v>
      </c>
      <c r="L98" s="1">
        <v>1</v>
      </c>
      <c r="M98" s="1">
        <v>1</v>
      </c>
      <c r="N98" s="1"/>
      <c r="O98" s="1"/>
    </row>
    <row r="99" spans="1:15" x14ac:dyDescent="0.3">
      <c r="A99" s="1" t="s">
        <v>127</v>
      </c>
      <c r="B99" s="1" t="s">
        <v>29</v>
      </c>
      <c r="C99" s="2">
        <v>43709</v>
      </c>
      <c r="D99" s="1" t="s">
        <v>424</v>
      </c>
      <c r="E99" s="1" t="s">
        <v>362</v>
      </c>
      <c r="F99" s="2"/>
      <c r="G99" s="1"/>
      <c r="H99" s="1"/>
      <c r="I99" s="1"/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</row>
    <row r="100" spans="1:15" x14ac:dyDescent="0.3">
      <c r="A100" s="1" t="s">
        <v>128</v>
      </c>
      <c r="B100" s="1" t="s">
        <v>29</v>
      </c>
      <c r="C100" s="2">
        <v>43709</v>
      </c>
      <c r="D100" s="1" t="s">
        <v>424</v>
      </c>
      <c r="E100" s="1" t="s">
        <v>362</v>
      </c>
      <c r="F100" s="2"/>
      <c r="G100" s="1"/>
      <c r="H100" s="1"/>
      <c r="I100" s="1"/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</row>
    <row r="101" spans="1:15" x14ac:dyDescent="0.3">
      <c r="A101" s="1" t="s">
        <v>129</v>
      </c>
      <c r="B101" s="1" t="s">
        <v>31</v>
      </c>
      <c r="C101" s="2">
        <v>43739</v>
      </c>
      <c r="D101" s="1" t="s">
        <v>424</v>
      </c>
      <c r="E101" s="1" t="s">
        <v>363</v>
      </c>
      <c r="F101" s="2">
        <v>44136</v>
      </c>
      <c r="G101" s="1" t="s">
        <v>367</v>
      </c>
      <c r="H101" s="1"/>
      <c r="I101" s="1"/>
      <c r="J101" s="1"/>
      <c r="K101" s="1">
        <v>1</v>
      </c>
      <c r="L101" s="1">
        <v>1</v>
      </c>
      <c r="M101" s="1">
        <v>1</v>
      </c>
      <c r="N101" s="1">
        <v>1</v>
      </c>
      <c r="O101" s="1"/>
    </row>
    <row r="102" spans="1:15" x14ac:dyDescent="0.3">
      <c r="A102" s="1" t="s">
        <v>130</v>
      </c>
      <c r="B102" s="1" t="s">
        <v>29</v>
      </c>
      <c r="C102" s="2">
        <v>43739</v>
      </c>
      <c r="D102" s="1" t="s">
        <v>424</v>
      </c>
      <c r="E102" s="1" t="s">
        <v>363</v>
      </c>
      <c r="F102" s="2"/>
      <c r="G102" s="1"/>
      <c r="H102" s="1"/>
      <c r="I102" s="1"/>
      <c r="J102" s="1"/>
      <c r="K102" s="1">
        <v>1</v>
      </c>
      <c r="L102" s="1">
        <v>1</v>
      </c>
      <c r="M102" s="1">
        <v>1</v>
      </c>
      <c r="N102" s="1">
        <v>1</v>
      </c>
      <c r="O102" s="1">
        <v>1</v>
      </c>
    </row>
    <row r="103" spans="1:15" x14ac:dyDescent="0.3">
      <c r="A103" s="1" t="s">
        <v>131</v>
      </c>
      <c r="B103" s="1" t="s">
        <v>31</v>
      </c>
      <c r="C103" s="2">
        <v>43739</v>
      </c>
      <c r="D103" s="1" t="s">
        <v>424</v>
      </c>
      <c r="E103" s="1" t="s">
        <v>363</v>
      </c>
      <c r="F103" s="2">
        <v>43891</v>
      </c>
      <c r="G103" s="1" t="s">
        <v>364</v>
      </c>
      <c r="H103" s="1"/>
      <c r="I103" s="1"/>
      <c r="J103" s="1"/>
      <c r="K103" s="1">
        <v>1</v>
      </c>
      <c r="L103" s="1"/>
      <c r="M103" s="1"/>
      <c r="N103" s="1"/>
      <c r="O103" s="1"/>
    </row>
    <row r="104" spans="1:15" x14ac:dyDescent="0.3">
      <c r="A104" s="1" t="s">
        <v>132</v>
      </c>
      <c r="B104" s="1" t="s">
        <v>29</v>
      </c>
      <c r="C104" s="2">
        <v>43739</v>
      </c>
      <c r="D104" s="1" t="s">
        <v>424</v>
      </c>
      <c r="E104" s="1" t="s">
        <v>363</v>
      </c>
      <c r="F104" s="2"/>
      <c r="G104" s="1"/>
      <c r="H104" s="1"/>
      <c r="I104" s="1"/>
      <c r="J104" s="1"/>
      <c r="K104" s="1">
        <v>1</v>
      </c>
      <c r="L104" s="1">
        <v>1</v>
      </c>
      <c r="M104" s="1">
        <v>1</v>
      </c>
      <c r="N104" s="1">
        <v>1</v>
      </c>
      <c r="O104" s="1">
        <v>1</v>
      </c>
    </row>
    <row r="105" spans="1:15" x14ac:dyDescent="0.3">
      <c r="A105" s="1" t="s">
        <v>133</v>
      </c>
      <c r="B105" s="1" t="s">
        <v>29</v>
      </c>
      <c r="C105" s="2">
        <v>43739</v>
      </c>
      <c r="D105" s="1" t="s">
        <v>424</v>
      </c>
      <c r="E105" s="1" t="s">
        <v>363</v>
      </c>
      <c r="F105" s="2"/>
      <c r="G105" s="1"/>
      <c r="H105" s="1"/>
      <c r="I105" s="1"/>
      <c r="J105" s="1"/>
      <c r="K105" s="1">
        <v>1</v>
      </c>
      <c r="L105" s="1">
        <v>1</v>
      </c>
      <c r="M105" s="1">
        <v>1</v>
      </c>
      <c r="N105" s="1">
        <v>1</v>
      </c>
      <c r="O105" s="1">
        <v>1</v>
      </c>
    </row>
    <row r="106" spans="1:15" x14ac:dyDescent="0.3">
      <c r="A106" s="1" t="s">
        <v>134</v>
      </c>
      <c r="B106" s="1" t="s">
        <v>29</v>
      </c>
      <c r="C106" s="2">
        <v>43739</v>
      </c>
      <c r="D106" s="1" t="s">
        <v>424</v>
      </c>
      <c r="E106" s="1" t="s">
        <v>363</v>
      </c>
      <c r="F106" s="2"/>
      <c r="G106" s="1"/>
      <c r="H106" s="1"/>
      <c r="I106" s="1"/>
      <c r="J106" s="1"/>
      <c r="K106" s="1">
        <v>1</v>
      </c>
      <c r="L106" s="1">
        <v>1</v>
      </c>
      <c r="M106" s="1">
        <v>1</v>
      </c>
      <c r="N106" s="1">
        <v>1</v>
      </c>
      <c r="O106" s="1">
        <v>1</v>
      </c>
    </row>
    <row r="107" spans="1:15" x14ac:dyDescent="0.3">
      <c r="A107" s="1" t="s">
        <v>135</v>
      </c>
      <c r="B107" s="1" t="s">
        <v>29</v>
      </c>
      <c r="C107" s="2">
        <v>43739</v>
      </c>
      <c r="D107" s="1" t="s">
        <v>424</v>
      </c>
      <c r="E107" s="1" t="s">
        <v>363</v>
      </c>
      <c r="F107" s="2"/>
      <c r="G107" s="1"/>
      <c r="H107" s="1"/>
      <c r="I107" s="1"/>
      <c r="J107" s="1"/>
      <c r="K107" s="1">
        <v>1</v>
      </c>
      <c r="L107" s="1">
        <v>1</v>
      </c>
      <c r="M107" s="1">
        <v>1</v>
      </c>
      <c r="N107" s="1">
        <v>1</v>
      </c>
      <c r="O107" s="1">
        <v>1</v>
      </c>
    </row>
    <row r="108" spans="1:15" x14ac:dyDescent="0.3">
      <c r="A108" s="1" t="s">
        <v>136</v>
      </c>
      <c r="B108" s="1" t="s">
        <v>29</v>
      </c>
      <c r="C108" s="2">
        <v>43739</v>
      </c>
      <c r="D108" s="1" t="s">
        <v>424</v>
      </c>
      <c r="E108" s="1" t="s">
        <v>363</v>
      </c>
      <c r="F108" s="2"/>
      <c r="G108" s="1"/>
      <c r="H108" s="1"/>
      <c r="I108" s="1"/>
      <c r="J108" s="1"/>
      <c r="K108" s="1">
        <v>1</v>
      </c>
      <c r="L108" s="1">
        <v>1</v>
      </c>
      <c r="M108" s="1">
        <v>1</v>
      </c>
      <c r="N108" s="1">
        <v>1</v>
      </c>
      <c r="O108" s="1">
        <v>1</v>
      </c>
    </row>
    <row r="109" spans="1:15" x14ac:dyDescent="0.3">
      <c r="A109" s="1" t="s">
        <v>137</v>
      </c>
      <c r="B109" s="1" t="s">
        <v>31</v>
      </c>
      <c r="C109" s="2">
        <v>43739</v>
      </c>
      <c r="D109" s="1" t="s">
        <v>424</v>
      </c>
      <c r="E109" s="1" t="s">
        <v>363</v>
      </c>
      <c r="F109" s="2">
        <v>44013</v>
      </c>
      <c r="G109" s="1" t="s">
        <v>366</v>
      </c>
      <c r="H109" s="1"/>
      <c r="I109" s="1"/>
      <c r="J109" s="1"/>
      <c r="K109" s="1">
        <v>1</v>
      </c>
      <c r="L109" s="1">
        <v>1</v>
      </c>
      <c r="M109" s="1">
        <v>1</v>
      </c>
      <c r="N109" s="1"/>
      <c r="O109" s="1"/>
    </row>
    <row r="110" spans="1:15" x14ac:dyDescent="0.3">
      <c r="A110" s="1" t="s">
        <v>138</v>
      </c>
      <c r="B110" s="1" t="s">
        <v>29</v>
      </c>
      <c r="C110" s="2">
        <v>43739</v>
      </c>
      <c r="D110" s="1" t="s">
        <v>424</v>
      </c>
      <c r="E110" s="1" t="s">
        <v>363</v>
      </c>
      <c r="F110" s="2"/>
      <c r="G110" s="1"/>
      <c r="H110" s="1"/>
      <c r="I110" s="1"/>
      <c r="J110" s="1"/>
      <c r="K110" s="1">
        <v>1</v>
      </c>
      <c r="L110" s="1">
        <v>1</v>
      </c>
      <c r="M110" s="1">
        <v>1</v>
      </c>
      <c r="N110" s="1">
        <v>1</v>
      </c>
      <c r="O110" s="1">
        <v>1</v>
      </c>
    </row>
    <row r="111" spans="1:15" x14ac:dyDescent="0.3">
      <c r="A111" s="1" t="s">
        <v>139</v>
      </c>
      <c r="B111" s="1" t="s">
        <v>29</v>
      </c>
      <c r="C111" s="2">
        <v>43739</v>
      </c>
      <c r="D111" s="1" t="s">
        <v>424</v>
      </c>
      <c r="E111" s="1" t="s">
        <v>363</v>
      </c>
      <c r="F111" s="2"/>
      <c r="G111" s="1"/>
      <c r="H111" s="1"/>
      <c r="I111" s="1"/>
      <c r="J111" s="1"/>
      <c r="K111" s="1">
        <v>1</v>
      </c>
      <c r="L111" s="1">
        <v>1</v>
      </c>
      <c r="M111" s="1">
        <v>1</v>
      </c>
      <c r="N111" s="1">
        <v>1</v>
      </c>
      <c r="O111" s="1">
        <v>1</v>
      </c>
    </row>
    <row r="112" spans="1:15" x14ac:dyDescent="0.3">
      <c r="A112" s="1" t="s">
        <v>140</v>
      </c>
      <c r="B112" s="1" t="s">
        <v>29</v>
      </c>
      <c r="C112" s="2">
        <v>43739</v>
      </c>
      <c r="D112" s="1" t="s">
        <v>424</v>
      </c>
      <c r="E112" s="1" t="s">
        <v>363</v>
      </c>
      <c r="F112" s="2"/>
      <c r="G112" s="1"/>
      <c r="H112" s="1"/>
      <c r="I112" s="1"/>
      <c r="J112" s="1"/>
      <c r="K112" s="1">
        <v>1</v>
      </c>
      <c r="L112" s="1">
        <v>1</v>
      </c>
      <c r="M112" s="1">
        <v>1</v>
      </c>
      <c r="N112" s="1">
        <v>1</v>
      </c>
      <c r="O112" s="1">
        <v>1</v>
      </c>
    </row>
    <row r="113" spans="1:15" x14ac:dyDescent="0.3">
      <c r="A113" s="1" t="s">
        <v>141</v>
      </c>
      <c r="B113" s="1" t="s">
        <v>31</v>
      </c>
      <c r="C113" s="2">
        <v>43739</v>
      </c>
      <c r="D113" s="1" t="s">
        <v>424</v>
      </c>
      <c r="E113" s="1" t="s">
        <v>363</v>
      </c>
      <c r="F113" s="2">
        <v>44105</v>
      </c>
      <c r="G113" s="1" t="s">
        <v>367</v>
      </c>
      <c r="H113" s="1"/>
      <c r="I113" s="1"/>
      <c r="J113" s="1"/>
      <c r="K113" s="1">
        <v>1</v>
      </c>
      <c r="L113" s="1">
        <v>1</v>
      </c>
      <c r="M113" s="1">
        <v>1</v>
      </c>
      <c r="N113" s="1">
        <v>1</v>
      </c>
      <c r="O113" s="1"/>
    </row>
    <row r="114" spans="1:15" x14ac:dyDescent="0.3">
      <c r="A114" s="1" t="s">
        <v>142</v>
      </c>
      <c r="B114" s="1" t="s">
        <v>29</v>
      </c>
      <c r="C114" s="2">
        <v>43739</v>
      </c>
      <c r="D114" s="1" t="s">
        <v>424</v>
      </c>
      <c r="E114" s="1" t="s">
        <v>363</v>
      </c>
      <c r="F114" s="2"/>
      <c r="G114" s="1"/>
      <c r="H114" s="1"/>
      <c r="I114" s="1"/>
      <c r="J114" s="1"/>
      <c r="K114" s="1">
        <v>1</v>
      </c>
      <c r="L114" s="1">
        <v>1</v>
      </c>
      <c r="M114" s="1">
        <v>1</v>
      </c>
      <c r="N114" s="1">
        <v>1</v>
      </c>
      <c r="O114" s="1">
        <v>1</v>
      </c>
    </row>
    <row r="115" spans="1:15" x14ac:dyDescent="0.3">
      <c r="A115" s="1" t="s">
        <v>143</v>
      </c>
      <c r="B115" s="1" t="s">
        <v>29</v>
      </c>
      <c r="C115" s="2">
        <v>43739</v>
      </c>
      <c r="D115" s="1" t="s">
        <v>424</v>
      </c>
      <c r="E115" s="1" t="s">
        <v>363</v>
      </c>
      <c r="F115" s="2"/>
      <c r="G115" s="1"/>
      <c r="H115" s="1"/>
      <c r="I115" s="1"/>
      <c r="J115" s="1"/>
      <c r="K115" s="1">
        <v>1</v>
      </c>
      <c r="L115" s="1">
        <v>1</v>
      </c>
      <c r="M115" s="1">
        <v>1</v>
      </c>
      <c r="N115" s="1">
        <v>1</v>
      </c>
      <c r="O115" s="1">
        <v>1</v>
      </c>
    </row>
    <row r="116" spans="1:15" x14ac:dyDescent="0.3">
      <c r="A116" s="1" t="s">
        <v>144</v>
      </c>
      <c r="B116" s="1" t="s">
        <v>29</v>
      </c>
      <c r="C116" s="2">
        <v>43770</v>
      </c>
      <c r="D116" s="1" t="s">
        <v>424</v>
      </c>
      <c r="E116" s="1" t="s">
        <v>363</v>
      </c>
      <c r="F116" s="2"/>
      <c r="G116" s="1"/>
      <c r="H116" s="1"/>
      <c r="I116" s="1"/>
      <c r="J116" s="1"/>
      <c r="K116" s="1">
        <v>1</v>
      </c>
      <c r="L116" s="1">
        <v>1</v>
      </c>
      <c r="M116" s="1">
        <v>1</v>
      </c>
      <c r="N116" s="1">
        <v>1</v>
      </c>
      <c r="O116" s="1">
        <v>1</v>
      </c>
    </row>
    <row r="117" spans="1:15" x14ac:dyDescent="0.3">
      <c r="A117" s="1" t="s">
        <v>145</v>
      </c>
      <c r="B117" s="1" t="s">
        <v>29</v>
      </c>
      <c r="C117" s="2">
        <v>43770</v>
      </c>
      <c r="D117" s="1" t="s">
        <v>424</v>
      </c>
      <c r="E117" s="1" t="s">
        <v>363</v>
      </c>
      <c r="F117" s="2"/>
      <c r="G117" s="1"/>
      <c r="H117" s="1"/>
      <c r="I117" s="1"/>
      <c r="J117" s="1"/>
      <c r="K117" s="1">
        <v>1</v>
      </c>
      <c r="L117" s="1">
        <v>1</v>
      </c>
      <c r="M117" s="1">
        <v>1</v>
      </c>
      <c r="N117" s="1">
        <v>1</v>
      </c>
      <c r="O117" s="1">
        <v>1</v>
      </c>
    </row>
    <row r="118" spans="1:15" x14ac:dyDescent="0.3">
      <c r="A118" s="1" t="s">
        <v>146</v>
      </c>
      <c r="B118" s="1" t="s">
        <v>29</v>
      </c>
      <c r="C118" s="2">
        <v>43770</v>
      </c>
      <c r="D118" s="1" t="s">
        <v>424</v>
      </c>
      <c r="E118" s="1" t="s">
        <v>363</v>
      </c>
      <c r="F118" s="2"/>
      <c r="G118" s="1"/>
      <c r="H118" s="1"/>
      <c r="I118" s="1"/>
      <c r="J118" s="1"/>
      <c r="K118" s="1">
        <v>1</v>
      </c>
      <c r="L118" s="1">
        <v>1</v>
      </c>
      <c r="M118" s="1">
        <v>1</v>
      </c>
      <c r="N118" s="1">
        <v>1</v>
      </c>
      <c r="O118" s="1">
        <v>1</v>
      </c>
    </row>
    <row r="119" spans="1:15" x14ac:dyDescent="0.3">
      <c r="A119" s="1" t="s">
        <v>147</v>
      </c>
      <c r="B119" s="1" t="s">
        <v>31</v>
      </c>
      <c r="C119" s="2">
        <v>43770</v>
      </c>
      <c r="D119" s="1" t="s">
        <v>424</v>
      </c>
      <c r="E119" s="1" t="s">
        <v>363</v>
      </c>
      <c r="F119" s="2">
        <v>43922</v>
      </c>
      <c r="G119" s="1" t="s">
        <v>365</v>
      </c>
      <c r="H119" s="1"/>
      <c r="I119" s="1"/>
      <c r="J119" s="1"/>
      <c r="K119" s="1">
        <v>1</v>
      </c>
      <c r="L119" s="1">
        <v>1</v>
      </c>
      <c r="M119" s="1"/>
      <c r="N119" s="1"/>
      <c r="O119" s="1"/>
    </row>
    <row r="120" spans="1:15" x14ac:dyDescent="0.3">
      <c r="A120" s="1" t="s">
        <v>148</v>
      </c>
      <c r="B120" s="1" t="s">
        <v>29</v>
      </c>
      <c r="C120" s="2">
        <v>43770</v>
      </c>
      <c r="D120" s="1" t="s">
        <v>424</v>
      </c>
      <c r="E120" s="1" t="s">
        <v>363</v>
      </c>
      <c r="F120" s="2"/>
      <c r="G120" s="1"/>
      <c r="H120" s="1"/>
      <c r="I120" s="1"/>
      <c r="J120" s="1"/>
      <c r="K120" s="1">
        <v>1</v>
      </c>
      <c r="L120" s="1">
        <v>1</v>
      </c>
      <c r="M120" s="1">
        <v>1</v>
      </c>
      <c r="N120" s="1">
        <v>1</v>
      </c>
      <c r="O120" s="1">
        <v>1</v>
      </c>
    </row>
    <row r="121" spans="1:15" x14ac:dyDescent="0.3">
      <c r="A121" s="1" t="s">
        <v>149</v>
      </c>
      <c r="B121" s="1" t="s">
        <v>29</v>
      </c>
      <c r="C121" s="2">
        <v>43770</v>
      </c>
      <c r="D121" s="1" t="s">
        <v>424</v>
      </c>
      <c r="E121" s="1" t="s">
        <v>363</v>
      </c>
      <c r="F121" s="2"/>
      <c r="G121" s="1"/>
      <c r="H121" s="1"/>
      <c r="I121" s="1"/>
      <c r="J121" s="1"/>
      <c r="K121" s="1">
        <v>1</v>
      </c>
      <c r="L121" s="1">
        <v>1</v>
      </c>
      <c r="M121" s="1">
        <v>1</v>
      </c>
      <c r="N121" s="1">
        <v>1</v>
      </c>
      <c r="O121" s="1">
        <v>1</v>
      </c>
    </row>
    <row r="122" spans="1:15" x14ac:dyDescent="0.3">
      <c r="A122" s="1" t="s">
        <v>150</v>
      </c>
      <c r="B122" s="1" t="s">
        <v>29</v>
      </c>
      <c r="C122" s="2">
        <v>43770</v>
      </c>
      <c r="D122" s="1" t="s">
        <v>424</v>
      </c>
      <c r="E122" s="1" t="s">
        <v>363</v>
      </c>
      <c r="F122" s="2"/>
      <c r="G122" s="1"/>
      <c r="H122" s="1"/>
      <c r="I122" s="1"/>
      <c r="J122" s="1"/>
      <c r="K122" s="1">
        <v>1</v>
      </c>
      <c r="L122" s="1">
        <v>1</v>
      </c>
      <c r="M122" s="1">
        <v>1</v>
      </c>
      <c r="N122" s="1">
        <v>1</v>
      </c>
      <c r="O122" s="1">
        <v>1</v>
      </c>
    </row>
    <row r="123" spans="1:15" x14ac:dyDescent="0.3">
      <c r="A123" s="1" t="s">
        <v>151</v>
      </c>
      <c r="B123" s="1" t="s">
        <v>29</v>
      </c>
      <c r="C123" s="2">
        <v>43770</v>
      </c>
      <c r="D123" s="1" t="s">
        <v>424</v>
      </c>
      <c r="E123" s="1" t="s">
        <v>363</v>
      </c>
      <c r="F123" s="2"/>
      <c r="G123" s="1"/>
      <c r="H123" s="1"/>
      <c r="I123" s="1"/>
      <c r="J123" s="1"/>
      <c r="K123" s="1">
        <v>1</v>
      </c>
      <c r="L123" s="1">
        <v>1</v>
      </c>
      <c r="M123" s="1">
        <v>1</v>
      </c>
      <c r="N123" s="1">
        <v>1</v>
      </c>
      <c r="O123" s="1">
        <v>1</v>
      </c>
    </row>
    <row r="124" spans="1:15" x14ac:dyDescent="0.3">
      <c r="A124" s="1" t="s">
        <v>152</v>
      </c>
      <c r="B124" s="1" t="s">
        <v>31</v>
      </c>
      <c r="C124" s="2">
        <v>43770</v>
      </c>
      <c r="D124" s="1" t="s">
        <v>424</v>
      </c>
      <c r="E124" s="1" t="s">
        <v>363</v>
      </c>
      <c r="F124" s="2">
        <v>43952</v>
      </c>
      <c r="G124" s="1" t="s">
        <v>365</v>
      </c>
      <c r="H124" s="1"/>
      <c r="I124" s="1"/>
      <c r="J124" s="1"/>
      <c r="K124" s="1">
        <v>1</v>
      </c>
      <c r="L124" s="1">
        <v>1</v>
      </c>
      <c r="M124" s="1"/>
      <c r="N124" s="1"/>
      <c r="O124" s="1"/>
    </row>
    <row r="125" spans="1:15" x14ac:dyDescent="0.3">
      <c r="A125" s="1" t="s">
        <v>153</v>
      </c>
      <c r="B125" s="1" t="s">
        <v>31</v>
      </c>
      <c r="C125" s="2">
        <v>43770</v>
      </c>
      <c r="D125" s="1" t="s">
        <v>424</v>
      </c>
      <c r="E125" s="1" t="s">
        <v>363</v>
      </c>
      <c r="F125" s="2">
        <v>44166</v>
      </c>
      <c r="G125" s="1" t="s">
        <v>367</v>
      </c>
      <c r="H125" s="1"/>
      <c r="I125" s="1"/>
      <c r="J125" s="1"/>
      <c r="K125" s="1">
        <v>1</v>
      </c>
      <c r="L125" s="1">
        <v>1</v>
      </c>
      <c r="M125" s="1">
        <v>1</v>
      </c>
      <c r="N125" s="1">
        <v>1</v>
      </c>
      <c r="O125" s="1"/>
    </row>
    <row r="126" spans="1:15" x14ac:dyDescent="0.3">
      <c r="A126" s="1" t="s">
        <v>154</v>
      </c>
      <c r="B126" s="1" t="s">
        <v>29</v>
      </c>
      <c r="C126" s="2">
        <v>43770</v>
      </c>
      <c r="D126" s="1" t="s">
        <v>424</v>
      </c>
      <c r="E126" s="1" t="s">
        <v>363</v>
      </c>
      <c r="F126" s="2"/>
      <c r="G126" s="1"/>
      <c r="H126" s="1"/>
      <c r="I126" s="1"/>
      <c r="J126" s="1"/>
      <c r="K126" s="1">
        <v>1</v>
      </c>
      <c r="L126" s="1">
        <v>1</v>
      </c>
      <c r="M126" s="1">
        <v>1</v>
      </c>
      <c r="N126" s="1">
        <v>1</v>
      </c>
      <c r="O126" s="1">
        <v>1</v>
      </c>
    </row>
    <row r="127" spans="1:15" x14ac:dyDescent="0.3">
      <c r="A127" s="1" t="s">
        <v>155</v>
      </c>
      <c r="B127" s="1" t="s">
        <v>29</v>
      </c>
      <c r="C127" s="2">
        <v>43770</v>
      </c>
      <c r="D127" s="1" t="s">
        <v>424</v>
      </c>
      <c r="E127" s="1" t="s">
        <v>363</v>
      </c>
      <c r="F127" s="2"/>
      <c r="G127" s="1"/>
      <c r="H127" s="1"/>
      <c r="I127" s="1"/>
      <c r="J127" s="1"/>
      <c r="K127" s="1">
        <v>1</v>
      </c>
      <c r="L127" s="1">
        <v>1</v>
      </c>
      <c r="M127" s="1">
        <v>1</v>
      </c>
      <c r="N127" s="1">
        <v>1</v>
      </c>
      <c r="O127" s="1">
        <v>1</v>
      </c>
    </row>
    <row r="128" spans="1:15" x14ac:dyDescent="0.3">
      <c r="A128" s="1" t="s">
        <v>156</v>
      </c>
      <c r="B128" s="1" t="s">
        <v>31</v>
      </c>
      <c r="C128" s="2">
        <v>43770</v>
      </c>
      <c r="D128" s="1" t="s">
        <v>424</v>
      </c>
      <c r="E128" s="1" t="s">
        <v>363</v>
      </c>
      <c r="F128" s="2">
        <v>43952</v>
      </c>
      <c r="G128" s="1" t="s">
        <v>365</v>
      </c>
      <c r="H128" s="1"/>
      <c r="I128" s="1"/>
      <c r="J128" s="1"/>
      <c r="K128" s="1">
        <v>1</v>
      </c>
      <c r="L128" s="1">
        <v>1</v>
      </c>
      <c r="M128" s="1"/>
      <c r="N128" s="1"/>
      <c r="O128" s="1"/>
    </row>
    <row r="129" spans="1:15" x14ac:dyDescent="0.3">
      <c r="A129" s="1" t="s">
        <v>157</v>
      </c>
      <c r="B129" s="1" t="s">
        <v>29</v>
      </c>
      <c r="C129" s="2">
        <v>43800</v>
      </c>
      <c r="D129" s="1" t="s">
        <v>424</v>
      </c>
      <c r="E129" s="1" t="s">
        <v>363</v>
      </c>
      <c r="F129" s="2"/>
      <c r="G129" s="1"/>
      <c r="H129" s="1"/>
      <c r="I129" s="1"/>
      <c r="J129" s="1"/>
      <c r="K129" s="1">
        <v>1</v>
      </c>
      <c r="L129" s="1">
        <v>1</v>
      </c>
      <c r="M129" s="1">
        <v>1</v>
      </c>
      <c r="N129" s="1">
        <v>1</v>
      </c>
      <c r="O129" s="1">
        <v>1</v>
      </c>
    </row>
    <row r="130" spans="1:15" x14ac:dyDescent="0.3">
      <c r="A130" s="1" t="s">
        <v>158</v>
      </c>
      <c r="B130" s="1" t="s">
        <v>29</v>
      </c>
      <c r="C130" s="2">
        <v>43800</v>
      </c>
      <c r="D130" s="1" t="s">
        <v>424</v>
      </c>
      <c r="E130" s="1" t="s">
        <v>363</v>
      </c>
      <c r="F130" s="2"/>
      <c r="G130" s="1"/>
      <c r="H130" s="1"/>
      <c r="I130" s="1"/>
      <c r="J130" s="1"/>
      <c r="K130" s="1">
        <v>1</v>
      </c>
      <c r="L130" s="1">
        <v>1</v>
      </c>
      <c r="M130" s="1">
        <v>1</v>
      </c>
      <c r="N130" s="1">
        <v>1</v>
      </c>
      <c r="O130" s="1">
        <v>1</v>
      </c>
    </row>
    <row r="131" spans="1:15" x14ac:dyDescent="0.3">
      <c r="A131" s="1" t="s">
        <v>159</v>
      </c>
      <c r="B131" s="1" t="s">
        <v>29</v>
      </c>
      <c r="C131" s="2">
        <v>43800</v>
      </c>
      <c r="D131" s="1" t="s">
        <v>424</v>
      </c>
      <c r="E131" s="1" t="s">
        <v>363</v>
      </c>
      <c r="F131" s="2"/>
      <c r="G131" s="1"/>
      <c r="H131" s="1"/>
      <c r="I131" s="1"/>
      <c r="J131" s="1"/>
      <c r="K131" s="1">
        <v>1</v>
      </c>
      <c r="L131" s="1">
        <v>1</v>
      </c>
      <c r="M131" s="1">
        <v>1</v>
      </c>
      <c r="N131" s="1">
        <v>1</v>
      </c>
      <c r="O131" s="1">
        <v>1</v>
      </c>
    </row>
    <row r="132" spans="1:15" x14ac:dyDescent="0.3">
      <c r="A132" s="1" t="s">
        <v>160</v>
      </c>
      <c r="B132" s="1" t="s">
        <v>29</v>
      </c>
      <c r="C132" s="2">
        <v>43800</v>
      </c>
      <c r="D132" s="1" t="s">
        <v>424</v>
      </c>
      <c r="E132" s="1" t="s">
        <v>363</v>
      </c>
      <c r="F132" s="2"/>
      <c r="G132" s="1"/>
      <c r="H132" s="1"/>
      <c r="I132" s="1"/>
      <c r="J132" s="1"/>
      <c r="K132" s="1">
        <v>1</v>
      </c>
      <c r="L132" s="1">
        <v>1</v>
      </c>
      <c r="M132" s="1">
        <v>1</v>
      </c>
      <c r="N132" s="1">
        <v>1</v>
      </c>
      <c r="O132" s="1">
        <v>1</v>
      </c>
    </row>
    <row r="133" spans="1:15" x14ac:dyDescent="0.3">
      <c r="A133" s="1" t="s">
        <v>161</v>
      </c>
      <c r="B133" s="1" t="s">
        <v>29</v>
      </c>
      <c r="C133" s="2">
        <v>43800</v>
      </c>
      <c r="D133" s="1" t="s">
        <v>424</v>
      </c>
      <c r="E133" s="1" t="s">
        <v>363</v>
      </c>
      <c r="F133" s="2"/>
      <c r="G133" s="1"/>
      <c r="H133" s="1"/>
      <c r="I133" s="1"/>
      <c r="J133" s="1"/>
      <c r="K133" s="1">
        <v>1</v>
      </c>
      <c r="L133" s="1">
        <v>1</v>
      </c>
      <c r="M133" s="1">
        <v>1</v>
      </c>
      <c r="N133" s="1">
        <v>1</v>
      </c>
      <c r="O133" s="1">
        <v>1</v>
      </c>
    </row>
    <row r="134" spans="1:15" x14ac:dyDescent="0.3">
      <c r="A134" s="1" t="s">
        <v>162</v>
      </c>
      <c r="B134" s="1" t="s">
        <v>29</v>
      </c>
      <c r="C134" s="2">
        <v>43800</v>
      </c>
      <c r="D134" s="1" t="s">
        <v>424</v>
      </c>
      <c r="E134" s="1" t="s">
        <v>363</v>
      </c>
      <c r="F134" s="2"/>
      <c r="G134" s="1"/>
      <c r="H134" s="1"/>
      <c r="I134" s="1"/>
      <c r="J134" s="1"/>
      <c r="K134" s="1">
        <v>1</v>
      </c>
      <c r="L134" s="1">
        <v>1</v>
      </c>
      <c r="M134" s="1">
        <v>1</v>
      </c>
      <c r="N134" s="1">
        <v>1</v>
      </c>
      <c r="O134" s="1">
        <v>1</v>
      </c>
    </row>
    <row r="135" spans="1:15" x14ac:dyDescent="0.3">
      <c r="A135" s="1" t="s">
        <v>163</v>
      </c>
      <c r="B135" s="1" t="s">
        <v>31</v>
      </c>
      <c r="C135" s="2">
        <v>43831</v>
      </c>
      <c r="D135" s="1" t="s">
        <v>424</v>
      </c>
      <c r="E135" s="1" t="s">
        <v>364</v>
      </c>
      <c r="F135" s="2">
        <v>44075</v>
      </c>
      <c r="G135" s="1" t="s">
        <v>366</v>
      </c>
      <c r="H135" s="1"/>
      <c r="I135" s="1"/>
      <c r="J135" s="1"/>
      <c r="K135" s="1"/>
      <c r="L135" s="1">
        <v>1</v>
      </c>
      <c r="M135" s="1">
        <v>1</v>
      </c>
      <c r="N135" s="1"/>
      <c r="O135" s="1"/>
    </row>
    <row r="136" spans="1:15" x14ac:dyDescent="0.3">
      <c r="A136" s="1" t="s">
        <v>164</v>
      </c>
      <c r="B136" s="1" t="s">
        <v>29</v>
      </c>
      <c r="C136" s="2">
        <v>43831</v>
      </c>
      <c r="D136" s="1" t="s">
        <v>425</v>
      </c>
      <c r="E136" s="1" t="s">
        <v>364</v>
      </c>
      <c r="F136" s="2">
        <v>43891</v>
      </c>
      <c r="G136" s="1" t="s">
        <v>364</v>
      </c>
      <c r="H136" s="1"/>
      <c r="I136" s="1"/>
      <c r="J136" s="1"/>
      <c r="K136" s="1"/>
      <c r="L136" s="1">
        <v>1</v>
      </c>
      <c r="M136" s="1">
        <v>1</v>
      </c>
      <c r="N136" s="1">
        <v>1</v>
      </c>
      <c r="O136" s="1">
        <v>1</v>
      </c>
    </row>
    <row r="137" spans="1:15" x14ac:dyDescent="0.3">
      <c r="A137" s="1" t="s">
        <v>165</v>
      </c>
      <c r="B137" s="1" t="s">
        <v>29</v>
      </c>
      <c r="C137" s="2">
        <v>43831</v>
      </c>
      <c r="D137" s="1" t="s">
        <v>424</v>
      </c>
      <c r="E137" s="1" t="s">
        <v>364</v>
      </c>
      <c r="F137" s="2"/>
      <c r="G137" s="1"/>
      <c r="H137" s="1"/>
      <c r="I137" s="1"/>
      <c r="J137" s="1"/>
      <c r="K137" s="1"/>
      <c r="L137" s="1">
        <v>1</v>
      </c>
      <c r="M137" s="1">
        <v>1</v>
      </c>
      <c r="N137" s="1">
        <v>1</v>
      </c>
      <c r="O137" s="1">
        <v>1</v>
      </c>
    </row>
    <row r="138" spans="1:15" x14ac:dyDescent="0.3">
      <c r="A138" s="1" t="s">
        <v>166</v>
      </c>
      <c r="B138" s="1" t="s">
        <v>31</v>
      </c>
      <c r="C138" s="2">
        <v>43831</v>
      </c>
      <c r="D138" s="1" t="s">
        <v>424</v>
      </c>
      <c r="E138" s="1" t="s">
        <v>364</v>
      </c>
      <c r="F138" s="2">
        <v>43983</v>
      </c>
      <c r="G138" s="1" t="s">
        <v>365</v>
      </c>
      <c r="H138" s="1"/>
      <c r="I138" s="1"/>
      <c r="J138" s="1"/>
      <c r="K138" s="1"/>
      <c r="L138" s="1">
        <v>1</v>
      </c>
      <c r="M138" s="1"/>
      <c r="N138" s="1"/>
      <c r="O138" s="1"/>
    </row>
    <row r="139" spans="1:15" x14ac:dyDescent="0.3">
      <c r="A139" s="1" t="s">
        <v>167</v>
      </c>
      <c r="B139" s="1" t="s">
        <v>31</v>
      </c>
      <c r="C139" s="2">
        <v>43831</v>
      </c>
      <c r="D139" s="1" t="s">
        <v>424</v>
      </c>
      <c r="E139" s="1" t="s">
        <v>364</v>
      </c>
      <c r="F139" s="2">
        <v>44105</v>
      </c>
      <c r="G139" s="1" t="s">
        <v>367</v>
      </c>
      <c r="H139" s="1"/>
      <c r="I139" s="1"/>
      <c r="J139" s="1"/>
      <c r="K139" s="1"/>
      <c r="L139" s="1">
        <v>1</v>
      </c>
      <c r="M139" s="1">
        <v>1</v>
      </c>
      <c r="N139" s="1">
        <v>1</v>
      </c>
      <c r="O139" s="1"/>
    </row>
    <row r="140" spans="1:15" x14ac:dyDescent="0.3">
      <c r="A140" s="1" t="s">
        <v>168</v>
      </c>
      <c r="B140" s="1" t="s">
        <v>31</v>
      </c>
      <c r="C140" s="2">
        <v>43831</v>
      </c>
      <c r="D140" s="1" t="s">
        <v>424</v>
      </c>
      <c r="E140" s="1" t="s">
        <v>364</v>
      </c>
      <c r="F140" s="2">
        <v>43983</v>
      </c>
      <c r="G140" s="1" t="s">
        <v>365</v>
      </c>
      <c r="H140" s="1"/>
      <c r="I140" s="1"/>
      <c r="J140" s="1"/>
      <c r="K140" s="1"/>
      <c r="L140" s="1">
        <v>1</v>
      </c>
      <c r="M140" s="1"/>
      <c r="N140" s="1"/>
      <c r="O140" s="1"/>
    </row>
    <row r="141" spans="1:15" x14ac:dyDescent="0.3">
      <c r="A141" s="1" t="s">
        <v>169</v>
      </c>
      <c r="B141" s="1" t="s">
        <v>29</v>
      </c>
      <c r="C141" s="2">
        <v>43831</v>
      </c>
      <c r="D141" s="1" t="s">
        <v>424</v>
      </c>
      <c r="E141" s="1" t="s">
        <v>364</v>
      </c>
      <c r="F141" s="2"/>
      <c r="G141" s="1"/>
      <c r="H141" s="1"/>
      <c r="I141" s="1"/>
      <c r="J141" s="1"/>
      <c r="K141" s="1"/>
      <c r="L141" s="1">
        <v>1</v>
      </c>
      <c r="M141" s="1">
        <v>1</v>
      </c>
      <c r="N141" s="1">
        <v>1</v>
      </c>
      <c r="O141" s="1">
        <v>1</v>
      </c>
    </row>
    <row r="142" spans="1:15" x14ac:dyDescent="0.3">
      <c r="A142" s="1" t="s">
        <v>170</v>
      </c>
      <c r="B142" s="1" t="s">
        <v>31</v>
      </c>
      <c r="C142" s="2">
        <v>43831</v>
      </c>
      <c r="D142" s="1" t="s">
        <v>424</v>
      </c>
      <c r="E142" s="1" t="s">
        <v>364</v>
      </c>
      <c r="F142" s="2">
        <v>44166</v>
      </c>
      <c r="G142" s="1" t="s">
        <v>367</v>
      </c>
      <c r="H142" s="1"/>
      <c r="I142" s="1"/>
      <c r="J142" s="1"/>
      <c r="K142" s="1"/>
      <c r="L142" s="1">
        <v>1</v>
      </c>
      <c r="M142" s="1">
        <v>1</v>
      </c>
      <c r="N142" s="1">
        <v>1</v>
      </c>
      <c r="O142" s="1"/>
    </row>
    <row r="143" spans="1:15" x14ac:dyDescent="0.3">
      <c r="A143" s="1" t="s">
        <v>171</v>
      </c>
      <c r="B143" s="1" t="s">
        <v>31</v>
      </c>
      <c r="C143" s="2">
        <v>43831</v>
      </c>
      <c r="D143" s="1" t="s">
        <v>424</v>
      </c>
      <c r="E143" s="1" t="s">
        <v>364</v>
      </c>
      <c r="F143" s="2">
        <v>44166</v>
      </c>
      <c r="G143" s="1" t="s">
        <v>367</v>
      </c>
      <c r="H143" s="1"/>
      <c r="I143" s="1"/>
      <c r="J143" s="1"/>
      <c r="K143" s="1"/>
      <c r="L143" s="1">
        <v>1</v>
      </c>
      <c r="M143" s="1">
        <v>1</v>
      </c>
      <c r="N143" s="1">
        <v>1</v>
      </c>
      <c r="O143" s="1"/>
    </row>
    <row r="144" spans="1:15" x14ac:dyDescent="0.3">
      <c r="A144" s="1" t="s">
        <v>172</v>
      </c>
      <c r="B144" s="1" t="s">
        <v>31</v>
      </c>
      <c r="C144" s="2">
        <v>43831</v>
      </c>
      <c r="D144" s="1" t="s">
        <v>424</v>
      </c>
      <c r="E144" s="1" t="s">
        <v>364</v>
      </c>
      <c r="F144" s="2">
        <v>44136</v>
      </c>
      <c r="G144" s="1" t="s">
        <v>367</v>
      </c>
      <c r="H144" s="1"/>
      <c r="I144" s="1"/>
      <c r="J144" s="1"/>
      <c r="K144" s="1"/>
      <c r="L144" s="1">
        <v>1</v>
      </c>
      <c r="M144" s="1">
        <v>1</v>
      </c>
      <c r="N144" s="1">
        <v>1</v>
      </c>
      <c r="O144" s="1"/>
    </row>
    <row r="145" spans="1:15" x14ac:dyDescent="0.3">
      <c r="A145" s="1" t="s">
        <v>173</v>
      </c>
      <c r="B145" s="1" t="s">
        <v>29</v>
      </c>
      <c r="C145" s="2">
        <v>43831</v>
      </c>
      <c r="D145" s="1" t="s">
        <v>424</v>
      </c>
      <c r="E145" s="1" t="s">
        <v>364</v>
      </c>
      <c r="F145" s="2"/>
      <c r="G145" s="1"/>
      <c r="H145" s="1"/>
      <c r="I145" s="1"/>
      <c r="J145" s="1"/>
      <c r="K145" s="1"/>
      <c r="L145" s="1">
        <v>1</v>
      </c>
      <c r="M145" s="1">
        <v>1</v>
      </c>
      <c r="N145" s="1">
        <v>1</v>
      </c>
      <c r="O145" s="1">
        <v>1</v>
      </c>
    </row>
    <row r="146" spans="1:15" x14ac:dyDescent="0.3">
      <c r="A146" s="1" t="s">
        <v>174</v>
      </c>
      <c r="B146" s="1" t="s">
        <v>29</v>
      </c>
      <c r="C146" s="2">
        <v>43831</v>
      </c>
      <c r="D146" s="1" t="s">
        <v>424</v>
      </c>
      <c r="E146" s="1" t="s">
        <v>364</v>
      </c>
      <c r="F146" s="2"/>
      <c r="G146" s="1"/>
      <c r="H146" s="1"/>
      <c r="I146" s="1"/>
      <c r="J146" s="1"/>
      <c r="K146" s="1"/>
      <c r="L146" s="1">
        <v>1</v>
      </c>
      <c r="M146" s="1">
        <v>1</v>
      </c>
      <c r="N146" s="1">
        <v>1</v>
      </c>
      <c r="O146" s="1">
        <v>1</v>
      </c>
    </row>
    <row r="147" spans="1:15" x14ac:dyDescent="0.3">
      <c r="A147" s="1" t="s">
        <v>175</v>
      </c>
      <c r="B147" s="1" t="s">
        <v>29</v>
      </c>
      <c r="C147" s="2">
        <v>43831</v>
      </c>
      <c r="D147" s="1" t="s">
        <v>424</v>
      </c>
      <c r="E147" s="1" t="s">
        <v>364</v>
      </c>
      <c r="F147" s="2"/>
      <c r="G147" s="1"/>
      <c r="H147" s="1"/>
      <c r="I147" s="1"/>
      <c r="J147" s="1"/>
      <c r="K147" s="1"/>
      <c r="L147" s="1">
        <v>1</v>
      </c>
      <c r="M147" s="1">
        <v>1</v>
      </c>
      <c r="N147" s="1">
        <v>1</v>
      </c>
      <c r="O147" s="1">
        <v>1</v>
      </c>
    </row>
    <row r="148" spans="1:15" x14ac:dyDescent="0.3">
      <c r="A148" s="1" t="s">
        <v>176</v>
      </c>
      <c r="B148" s="1" t="s">
        <v>29</v>
      </c>
      <c r="C148" s="2">
        <v>43831</v>
      </c>
      <c r="D148" s="1" t="s">
        <v>424</v>
      </c>
      <c r="E148" s="1" t="s">
        <v>364</v>
      </c>
      <c r="F148" s="2"/>
      <c r="G148" s="1"/>
      <c r="H148" s="1"/>
      <c r="I148" s="1"/>
      <c r="J148" s="1"/>
      <c r="K148" s="1"/>
      <c r="L148" s="1">
        <v>1</v>
      </c>
      <c r="M148" s="1">
        <v>1</v>
      </c>
      <c r="N148" s="1">
        <v>1</v>
      </c>
      <c r="O148" s="1">
        <v>1</v>
      </c>
    </row>
    <row r="149" spans="1:15" x14ac:dyDescent="0.3">
      <c r="A149" s="1" t="s">
        <v>177</v>
      </c>
      <c r="B149" s="1" t="s">
        <v>29</v>
      </c>
      <c r="C149" s="2">
        <v>43831</v>
      </c>
      <c r="D149" s="1" t="s">
        <v>424</v>
      </c>
      <c r="E149" s="1" t="s">
        <v>364</v>
      </c>
      <c r="F149" s="2"/>
      <c r="G149" s="1"/>
      <c r="H149" s="1"/>
      <c r="I149" s="1"/>
      <c r="J149" s="1"/>
      <c r="K149" s="1"/>
      <c r="L149" s="1">
        <v>1</v>
      </c>
      <c r="M149" s="1">
        <v>1</v>
      </c>
      <c r="N149" s="1">
        <v>1</v>
      </c>
      <c r="O149" s="1">
        <v>1</v>
      </c>
    </row>
    <row r="150" spans="1:15" x14ac:dyDescent="0.3">
      <c r="A150" s="1" t="s">
        <v>178</v>
      </c>
      <c r="B150" s="1" t="s">
        <v>29</v>
      </c>
      <c r="C150" s="2">
        <v>43831</v>
      </c>
      <c r="D150" s="1" t="s">
        <v>424</v>
      </c>
      <c r="E150" s="1" t="s">
        <v>364</v>
      </c>
      <c r="F150" s="2"/>
      <c r="G150" s="1"/>
      <c r="H150" s="1"/>
      <c r="I150" s="1"/>
      <c r="J150" s="1"/>
      <c r="K150" s="1"/>
      <c r="L150" s="1">
        <v>1</v>
      </c>
      <c r="M150" s="1">
        <v>1</v>
      </c>
      <c r="N150" s="1">
        <v>1</v>
      </c>
      <c r="O150" s="1">
        <v>1</v>
      </c>
    </row>
    <row r="151" spans="1:15" x14ac:dyDescent="0.3">
      <c r="A151" s="1" t="s">
        <v>179</v>
      </c>
      <c r="B151" s="1" t="s">
        <v>29</v>
      </c>
      <c r="C151" s="2">
        <v>43831</v>
      </c>
      <c r="D151" s="1" t="s">
        <v>424</v>
      </c>
      <c r="E151" s="1" t="s">
        <v>364</v>
      </c>
      <c r="F151" s="2"/>
      <c r="G151" s="1"/>
      <c r="H151" s="1"/>
      <c r="I151" s="1"/>
      <c r="J151" s="1"/>
      <c r="K151" s="1"/>
      <c r="L151" s="1">
        <v>1</v>
      </c>
      <c r="M151" s="1">
        <v>1</v>
      </c>
      <c r="N151" s="1">
        <v>1</v>
      </c>
      <c r="O151" s="1">
        <v>1</v>
      </c>
    </row>
    <row r="152" spans="1:15" x14ac:dyDescent="0.3">
      <c r="A152" s="1" t="s">
        <v>180</v>
      </c>
      <c r="B152" s="1" t="s">
        <v>29</v>
      </c>
      <c r="C152" s="2">
        <v>43831</v>
      </c>
      <c r="D152" s="1" t="s">
        <v>424</v>
      </c>
      <c r="E152" s="1" t="s">
        <v>364</v>
      </c>
      <c r="F152" s="2"/>
      <c r="G152" s="1"/>
      <c r="H152" s="1"/>
      <c r="I152" s="1"/>
      <c r="J152" s="1"/>
      <c r="K152" s="1"/>
      <c r="L152" s="1">
        <v>1</v>
      </c>
      <c r="M152" s="1">
        <v>1</v>
      </c>
      <c r="N152" s="1">
        <v>1</v>
      </c>
      <c r="O152" s="1">
        <v>1</v>
      </c>
    </row>
    <row r="153" spans="1:15" x14ac:dyDescent="0.3">
      <c r="A153" s="1" t="s">
        <v>181</v>
      </c>
      <c r="B153" s="1" t="s">
        <v>29</v>
      </c>
      <c r="C153" s="2">
        <v>43831</v>
      </c>
      <c r="D153" s="1" t="s">
        <v>424</v>
      </c>
      <c r="E153" s="1" t="s">
        <v>364</v>
      </c>
      <c r="F153" s="2"/>
      <c r="G153" s="1"/>
      <c r="H153" s="1"/>
      <c r="I153" s="1"/>
      <c r="J153" s="1"/>
      <c r="K153" s="1"/>
      <c r="L153" s="1">
        <v>1</v>
      </c>
      <c r="M153" s="1">
        <v>1</v>
      </c>
      <c r="N153" s="1">
        <v>1</v>
      </c>
      <c r="O153" s="1">
        <v>1</v>
      </c>
    </row>
    <row r="154" spans="1:15" x14ac:dyDescent="0.3">
      <c r="A154" s="1" t="s">
        <v>182</v>
      </c>
      <c r="B154" s="1" t="s">
        <v>29</v>
      </c>
      <c r="C154" s="2">
        <v>43831</v>
      </c>
      <c r="D154" s="1" t="s">
        <v>424</v>
      </c>
      <c r="E154" s="1" t="s">
        <v>364</v>
      </c>
      <c r="F154" s="2"/>
      <c r="G154" s="1"/>
      <c r="H154" s="1"/>
      <c r="I154" s="1"/>
      <c r="J154" s="1"/>
      <c r="K154" s="1"/>
      <c r="L154" s="1">
        <v>1</v>
      </c>
      <c r="M154" s="1">
        <v>1</v>
      </c>
      <c r="N154" s="1">
        <v>1</v>
      </c>
      <c r="O154" s="1">
        <v>1</v>
      </c>
    </row>
    <row r="155" spans="1:15" x14ac:dyDescent="0.3">
      <c r="A155" s="1" t="s">
        <v>183</v>
      </c>
      <c r="B155" s="1" t="s">
        <v>29</v>
      </c>
      <c r="C155" s="2">
        <v>43831</v>
      </c>
      <c r="D155" s="1" t="s">
        <v>424</v>
      </c>
      <c r="E155" s="1" t="s">
        <v>364</v>
      </c>
      <c r="F155" s="2"/>
      <c r="G155" s="1"/>
      <c r="H155" s="1"/>
      <c r="I155" s="1"/>
      <c r="J155" s="1"/>
      <c r="K155" s="1"/>
      <c r="L155" s="1">
        <v>1</v>
      </c>
      <c r="M155" s="1">
        <v>1</v>
      </c>
      <c r="N155" s="1">
        <v>1</v>
      </c>
      <c r="O155" s="1">
        <v>1</v>
      </c>
    </row>
    <row r="156" spans="1:15" x14ac:dyDescent="0.3">
      <c r="A156" s="1" t="s">
        <v>184</v>
      </c>
      <c r="B156" s="1" t="s">
        <v>29</v>
      </c>
      <c r="C156" s="2">
        <v>43862</v>
      </c>
      <c r="D156" s="1" t="s">
        <v>424</v>
      </c>
      <c r="E156" s="1" t="s">
        <v>364</v>
      </c>
      <c r="F156" s="2"/>
      <c r="G156" s="1"/>
      <c r="H156" s="1"/>
      <c r="I156" s="1"/>
      <c r="J156" s="1"/>
      <c r="K156" s="1"/>
      <c r="L156" s="1">
        <v>1</v>
      </c>
      <c r="M156" s="1">
        <v>1</v>
      </c>
      <c r="N156" s="1">
        <v>1</v>
      </c>
      <c r="O156" s="1">
        <v>1</v>
      </c>
    </row>
    <row r="157" spans="1:15" x14ac:dyDescent="0.3">
      <c r="A157" s="1" t="s">
        <v>185</v>
      </c>
      <c r="B157" s="1" t="s">
        <v>29</v>
      </c>
      <c r="C157" s="2">
        <v>43862</v>
      </c>
      <c r="D157" s="1" t="s">
        <v>424</v>
      </c>
      <c r="E157" s="1" t="s">
        <v>364</v>
      </c>
      <c r="F157" s="2"/>
      <c r="G157" s="1"/>
      <c r="H157" s="1"/>
      <c r="I157" s="1"/>
      <c r="J157" s="1"/>
      <c r="K157" s="1"/>
      <c r="L157" s="1">
        <v>1</v>
      </c>
      <c r="M157" s="1">
        <v>1</v>
      </c>
      <c r="N157" s="1">
        <v>1</v>
      </c>
      <c r="O157" s="1">
        <v>1</v>
      </c>
    </row>
    <row r="158" spans="1:15" x14ac:dyDescent="0.3">
      <c r="A158" s="1" t="s">
        <v>186</v>
      </c>
      <c r="B158" s="1" t="s">
        <v>31</v>
      </c>
      <c r="C158" s="2">
        <v>43862</v>
      </c>
      <c r="D158" s="1" t="s">
        <v>424</v>
      </c>
      <c r="E158" s="1" t="s">
        <v>364</v>
      </c>
      <c r="F158" s="2">
        <v>43922</v>
      </c>
      <c r="G158" s="1" t="s">
        <v>365</v>
      </c>
      <c r="H158" s="1"/>
      <c r="I158" s="1"/>
      <c r="J158" s="1"/>
      <c r="K158" s="1"/>
      <c r="L158" s="1"/>
      <c r="M158" s="1"/>
      <c r="N158" s="1"/>
      <c r="O158" s="1"/>
    </row>
    <row r="159" spans="1:15" x14ac:dyDescent="0.3">
      <c r="A159" s="1" t="s">
        <v>187</v>
      </c>
      <c r="B159" s="1" t="s">
        <v>29</v>
      </c>
      <c r="C159" s="2">
        <v>43862</v>
      </c>
      <c r="D159" s="1" t="s">
        <v>424</v>
      </c>
      <c r="E159" s="1" t="s">
        <v>364</v>
      </c>
      <c r="F159" s="2"/>
      <c r="G159" s="1"/>
      <c r="H159" s="1"/>
      <c r="I159" s="1"/>
      <c r="J159" s="1"/>
      <c r="K159" s="1"/>
      <c r="L159" s="1">
        <v>1</v>
      </c>
      <c r="M159" s="1">
        <v>1</v>
      </c>
      <c r="N159" s="1">
        <v>1</v>
      </c>
      <c r="O159" s="1">
        <v>1</v>
      </c>
    </row>
    <row r="160" spans="1:15" x14ac:dyDescent="0.3">
      <c r="A160" s="1" t="s">
        <v>188</v>
      </c>
      <c r="B160" s="1" t="s">
        <v>29</v>
      </c>
      <c r="C160" s="2">
        <v>43862</v>
      </c>
      <c r="D160" s="1" t="s">
        <v>424</v>
      </c>
      <c r="E160" s="1" t="s">
        <v>364</v>
      </c>
      <c r="F160" s="2"/>
      <c r="G160" s="1"/>
      <c r="H160" s="1"/>
      <c r="I160" s="1"/>
      <c r="J160" s="1"/>
      <c r="K160" s="1"/>
      <c r="L160" s="1">
        <v>1</v>
      </c>
      <c r="M160" s="1">
        <v>1</v>
      </c>
      <c r="N160" s="1">
        <v>1</v>
      </c>
      <c r="O160" s="1">
        <v>1</v>
      </c>
    </row>
    <row r="161" spans="1:15" x14ac:dyDescent="0.3">
      <c r="A161" s="1" t="s">
        <v>189</v>
      </c>
      <c r="B161" s="1" t="s">
        <v>29</v>
      </c>
      <c r="C161" s="2">
        <v>43862</v>
      </c>
      <c r="D161" s="1" t="s">
        <v>424</v>
      </c>
      <c r="E161" s="1" t="s">
        <v>364</v>
      </c>
      <c r="F161" s="2"/>
      <c r="G161" s="1"/>
      <c r="H161" s="1"/>
      <c r="I161" s="1"/>
      <c r="J161" s="1"/>
      <c r="K161" s="1"/>
      <c r="L161" s="1">
        <v>1</v>
      </c>
      <c r="M161" s="1">
        <v>1</v>
      </c>
      <c r="N161" s="1">
        <v>1</v>
      </c>
      <c r="O161" s="1">
        <v>1</v>
      </c>
    </row>
    <row r="162" spans="1:15" x14ac:dyDescent="0.3">
      <c r="A162" s="1" t="s">
        <v>190</v>
      </c>
      <c r="B162" s="1" t="s">
        <v>31</v>
      </c>
      <c r="C162" s="2">
        <v>43862</v>
      </c>
      <c r="D162" s="1" t="s">
        <v>424</v>
      </c>
      <c r="E162" s="1" t="s">
        <v>364</v>
      </c>
      <c r="F162" s="2">
        <v>44166</v>
      </c>
      <c r="G162" s="1" t="s">
        <v>367</v>
      </c>
      <c r="H162" s="1"/>
      <c r="I162" s="1"/>
      <c r="J162" s="1"/>
      <c r="K162" s="1"/>
      <c r="L162" s="1">
        <v>1</v>
      </c>
      <c r="M162" s="1">
        <v>1</v>
      </c>
      <c r="N162" s="1">
        <v>1</v>
      </c>
      <c r="O162" s="1"/>
    </row>
    <row r="163" spans="1:15" x14ac:dyDescent="0.3">
      <c r="A163" s="1" t="s">
        <v>191</v>
      </c>
      <c r="B163" s="1" t="s">
        <v>29</v>
      </c>
      <c r="C163" s="2">
        <v>43862</v>
      </c>
      <c r="D163" s="1" t="s">
        <v>424</v>
      </c>
      <c r="E163" s="1" t="s">
        <v>364</v>
      </c>
      <c r="F163" s="2"/>
      <c r="G163" s="1"/>
      <c r="H163" s="1"/>
      <c r="I163" s="1"/>
      <c r="J163" s="1"/>
      <c r="K163" s="1"/>
      <c r="L163" s="1">
        <v>1</v>
      </c>
      <c r="M163" s="1">
        <v>1</v>
      </c>
      <c r="N163" s="1">
        <v>1</v>
      </c>
      <c r="O163" s="1">
        <v>1</v>
      </c>
    </row>
    <row r="164" spans="1:15" x14ac:dyDescent="0.3">
      <c r="A164" s="1" t="s">
        <v>192</v>
      </c>
      <c r="B164" s="1" t="s">
        <v>29</v>
      </c>
      <c r="C164" s="2">
        <v>43862</v>
      </c>
      <c r="D164" s="1" t="s">
        <v>424</v>
      </c>
      <c r="E164" s="1" t="s">
        <v>364</v>
      </c>
      <c r="F164" s="2"/>
      <c r="G164" s="1"/>
      <c r="H164" s="1"/>
      <c r="I164" s="1"/>
      <c r="J164" s="1"/>
      <c r="K164" s="1"/>
      <c r="L164" s="1">
        <v>1</v>
      </c>
      <c r="M164" s="1">
        <v>1</v>
      </c>
      <c r="N164" s="1">
        <v>1</v>
      </c>
      <c r="O164" s="1">
        <v>1</v>
      </c>
    </row>
    <row r="165" spans="1:15" x14ac:dyDescent="0.3">
      <c r="A165" s="1" t="s">
        <v>193</v>
      </c>
      <c r="B165" s="1" t="s">
        <v>29</v>
      </c>
      <c r="C165" s="2">
        <v>43862</v>
      </c>
      <c r="D165" s="1" t="s">
        <v>424</v>
      </c>
      <c r="E165" s="1" t="s">
        <v>364</v>
      </c>
      <c r="F165" s="2"/>
      <c r="G165" s="1"/>
      <c r="H165" s="1"/>
      <c r="I165" s="1"/>
      <c r="J165" s="1"/>
      <c r="K165" s="1"/>
      <c r="L165" s="1">
        <v>1</v>
      </c>
      <c r="M165" s="1">
        <v>1</v>
      </c>
      <c r="N165" s="1">
        <v>1</v>
      </c>
      <c r="O165" s="1">
        <v>1</v>
      </c>
    </row>
    <row r="166" spans="1:15" x14ac:dyDescent="0.3">
      <c r="A166" s="1" t="s">
        <v>194</v>
      </c>
      <c r="B166" s="1" t="s">
        <v>29</v>
      </c>
      <c r="C166" s="2">
        <v>43862</v>
      </c>
      <c r="D166" s="1" t="s">
        <v>424</v>
      </c>
      <c r="E166" s="1" t="s">
        <v>364</v>
      </c>
      <c r="F166" s="2"/>
      <c r="G166" s="1"/>
      <c r="H166" s="1"/>
      <c r="I166" s="1"/>
      <c r="J166" s="1"/>
      <c r="K166" s="1"/>
      <c r="L166" s="1">
        <v>1</v>
      </c>
      <c r="M166" s="1">
        <v>1</v>
      </c>
      <c r="N166" s="1">
        <v>1</v>
      </c>
      <c r="O166" s="1">
        <v>1</v>
      </c>
    </row>
    <row r="167" spans="1:15" x14ac:dyDescent="0.3">
      <c r="A167" s="1" t="s">
        <v>195</v>
      </c>
      <c r="B167" s="1" t="s">
        <v>29</v>
      </c>
      <c r="C167" s="2">
        <v>43891</v>
      </c>
      <c r="D167" s="1" t="s">
        <v>424</v>
      </c>
      <c r="E167" s="1" t="s">
        <v>364</v>
      </c>
      <c r="F167" s="2"/>
      <c r="G167" s="1"/>
      <c r="H167" s="1"/>
      <c r="I167" s="1"/>
      <c r="J167" s="1"/>
      <c r="K167" s="1"/>
      <c r="L167" s="1">
        <v>1</v>
      </c>
      <c r="M167" s="1">
        <v>1</v>
      </c>
      <c r="N167" s="1">
        <v>1</v>
      </c>
      <c r="O167" s="1">
        <v>1</v>
      </c>
    </row>
    <row r="168" spans="1:15" x14ac:dyDescent="0.3">
      <c r="A168" s="1" t="s">
        <v>196</v>
      </c>
      <c r="B168" s="1" t="s">
        <v>29</v>
      </c>
      <c r="C168" s="2">
        <v>43891</v>
      </c>
      <c r="D168" s="1" t="s">
        <v>424</v>
      </c>
      <c r="E168" s="1" t="s">
        <v>364</v>
      </c>
      <c r="F168" s="2"/>
      <c r="G168" s="1"/>
      <c r="H168" s="1"/>
      <c r="I168" s="1"/>
      <c r="J168" s="1"/>
      <c r="K168" s="1"/>
      <c r="L168" s="1">
        <v>1</v>
      </c>
      <c r="M168" s="1">
        <v>1</v>
      </c>
      <c r="N168" s="1">
        <v>1</v>
      </c>
      <c r="O168" s="1">
        <v>1</v>
      </c>
    </row>
    <row r="169" spans="1:15" x14ac:dyDescent="0.3">
      <c r="A169" s="1" t="s">
        <v>197</v>
      </c>
      <c r="B169" s="1" t="s">
        <v>31</v>
      </c>
      <c r="C169" s="2">
        <v>43891</v>
      </c>
      <c r="D169" s="1" t="s">
        <v>424</v>
      </c>
      <c r="E169" s="1" t="s">
        <v>364</v>
      </c>
      <c r="F169" s="2">
        <v>44044</v>
      </c>
      <c r="G169" s="1" t="s">
        <v>366</v>
      </c>
      <c r="H169" s="1"/>
      <c r="I169" s="1"/>
      <c r="J169" s="1"/>
      <c r="K169" s="1"/>
      <c r="L169" s="1">
        <v>1</v>
      </c>
      <c r="M169" s="1">
        <v>1</v>
      </c>
      <c r="N169" s="1"/>
      <c r="O169" s="1"/>
    </row>
    <row r="170" spans="1:15" x14ac:dyDescent="0.3">
      <c r="A170" s="1" t="s">
        <v>198</v>
      </c>
      <c r="B170" s="1" t="s">
        <v>31</v>
      </c>
      <c r="C170" s="2">
        <v>43891</v>
      </c>
      <c r="D170" s="1" t="s">
        <v>424</v>
      </c>
      <c r="E170" s="1" t="s">
        <v>364</v>
      </c>
      <c r="F170" s="2">
        <v>44044</v>
      </c>
      <c r="G170" s="1" t="s">
        <v>366</v>
      </c>
      <c r="H170" s="1"/>
      <c r="I170" s="1"/>
      <c r="J170" s="1"/>
      <c r="K170" s="1"/>
      <c r="L170" s="1">
        <v>1</v>
      </c>
      <c r="M170" s="1">
        <v>1</v>
      </c>
      <c r="N170" s="1"/>
      <c r="O170" s="1"/>
    </row>
    <row r="171" spans="1:15" x14ac:dyDescent="0.3">
      <c r="A171" s="1" t="s">
        <v>199</v>
      </c>
      <c r="B171" s="1" t="s">
        <v>31</v>
      </c>
      <c r="C171" s="2">
        <v>43891</v>
      </c>
      <c r="D171" s="1" t="s">
        <v>424</v>
      </c>
      <c r="E171" s="1" t="s">
        <v>364</v>
      </c>
      <c r="F171" s="2">
        <v>43983</v>
      </c>
      <c r="G171" s="1" t="s">
        <v>365</v>
      </c>
      <c r="H171" s="1"/>
      <c r="I171" s="1"/>
      <c r="J171" s="1"/>
      <c r="K171" s="1"/>
      <c r="L171" s="1">
        <v>1</v>
      </c>
      <c r="M171" s="1"/>
      <c r="N171" s="1"/>
      <c r="O171" s="1"/>
    </row>
    <row r="172" spans="1:15" x14ac:dyDescent="0.3">
      <c r="A172" s="1" t="s">
        <v>200</v>
      </c>
      <c r="B172" s="1" t="s">
        <v>29</v>
      </c>
      <c r="C172" s="2">
        <v>43891</v>
      </c>
      <c r="D172" s="1" t="s">
        <v>424</v>
      </c>
      <c r="E172" s="1" t="s">
        <v>364</v>
      </c>
      <c r="F172" s="2"/>
      <c r="G172" s="1"/>
      <c r="H172" s="1"/>
      <c r="I172" s="1"/>
      <c r="J172" s="1"/>
      <c r="K172" s="1"/>
      <c r="L172" s="1">
        <v>1</v>
      </c>
      <c r="M172" s="1">
        <v>1</v>
      </c>
      <c r="N172" s="1">
        <v>1</v>
      </c>
      <c r="O172" s="1">
        <v>1</v>
      </c>
    </row>
    <row r="173" spans="1:15" x14ac:dyDescent="0.3">
      <c r="A173" s="1" t="s">
        <v>201</v>
      </c>
      <c r="B173" s="1" t="s">
        <v>29</v>
      </c>
      <c r="C173" s="2">
        <v>43891</v>
      </c>
      <c r="D173" s="1" t="s">
        <v>424</v>
      </c>
      <c r="E173" s="1" t="s">
        <v>364</v>
      </c>
      <c r="F173" s="2"/>
      <c r="G173" s="1"/>
      <c r="H173" s="1"/>
      <c r="I173" s="1"/>
      <c r="J173" s="1"/>
      <c r="K173" s="1"/>
      <c r="L173" s="1">
        <v>1</v>
      </c>
      <c r="M173" s="1">
        <v>1</v>
      </c>
      <c r="N173" s="1">
        <v>1</v>
      </c>
      <c r="O173" s="1">
        <v>1</v>
      </c>
    </row>
    <row r="174" spans="1:15" x14ac:dyDescent="0.3">
      <c r="A174" s="1" t="s">
        <v>202</v>
      </c>
      <c r="B174" s="1" t="s">
        <v>31</v>
      </c>
      <c r="C174" s="2">
        <v>43891</v>
      </c>
      <c r="D174" s="1" t="s">
        <v>424</v>
      </c>
      <c r="E174" s="1" t="s">
        <v>364</v>
      </c>
      <c r="F174" s="2">
        <v>43983</v>
      </c>
      <c r="G174" s="1" t="s">
        <v>365</v>
      </c>
      <c r="H174" s="1"/>
      <c r="I174" s="1"/>
      <c r="J174" s="1"/>
      <c r="K174" s="1"/>
      <c r="L174" s="1">
        <v>1</v>
      </c>
      <c r="M174" s="1"/>
      <c r="N174" s="1"/>
      <c r="O174" s="1"/>
    </row>
    <row r="175" spans="1:15" x14ac:dyDescent="0.3">
      <c r="A175" s="1" t="s">
        <v>203</v>
      </c>
      <c r="B175" s="1" t="s">
        <v>31</v>
      </c>
      <c r="C175" s="2">
        <v>43891</v>
      </c>
      <c r="D175" s="1" t="s">
        <v>424</v>
      </c>
      <c r="E175" s="1" t="s">
        <v>364</v>
      </c>
      <c r="F175" s="2">
        <v>43983</v>
      </c>
      <c r="G175" s="1" t="s">
        <v>365</v>
      </c>
      <c r="H175" s="1"/>
      <c r="I175" s="1"/>
      <c r="J175" s="1"/>
      <c r="K175" s="1"/>
      <c r="L175" s="1">
        <v>1</v>
      </c>
      <c r="M175" s="1"/>
      <c r="N175" s="1"/>
      <c r="O175" s="1"/>
    </row>
    <row r="176" spans="1:15" x14ac:dyDescent="0.3">
      <c r="A176" s="1" t="s">
        <v>204</v>
      </c>
      <c r="B176" s="1" t="s">
        <v>29</v>
      </c>
      <c r="C176" s="2">
        <v>43891</v>
      </c>
      <c r="D176" s="1" t="s">
        <v>424</v>
      </c>
      <c r="E176" s="1" t="s">
        <v>364</v>
      </c>
      <c r="F176" s="2"/>
      <c r="G176" s="1"/>
      <c r="H176" s="1"/>
      <c r="I176" s="1"/>
      <c r="J176" s="1"/>
      <c r="K176" s="1"/>
      <c r="L176" s="1">
        <v>1</v>
      </c>
      <c r="M176" s="1">
        <v>1</v>
      </c>
      <c r="N176" s="1">
        <v>1</v>
      </c>
      <c r="O176" s="1">
        <v>1</v>
      </c>
    </row>
    <row r="177" spans="1:15" x14ac:dyDescent="0.3">
      <c r="A177" s="1" t="s">
        <v>205</v>
      </c>
      <c r="B177" s="1" t="s">
        <v>31</v>
      </c>
      <c r="C177" s="2">
        <v>43891</v>
      </c>
      <c r="D177" s="1" t="s">
        <v>424</v>
      </c>
      <c r="E177" s="1" t="s">
        <v>364</v>
      </c>
      <c r="F177" s="2">
        <v>44075</v>
      </c>
      <c r="G177" s="1" t="s">
        <v>366</v>
      </c>
      <c r="H177" s="1"/>
      <c r="I177" s="1"/>
      <c r="J177" s="1"/>
      <c r="K177" s="1"/>
      <c r="L177" s="1">
        <v>1</v>
      </c>
      <c r="M177" s="1">
        <v>1</v>
      </c>
      <c r="N177" s="1"/>
      <c r="O177" s="1"/>
    </row>
    <row r="178" spans="1:15" x14ac:dyDescent="0.3">
      <c r="A178" s="1" t="s">
        <v>206</v>
      </c>
      <c r="B178" s="1" t="s">
        <v>31</v>
      </c>
      <c r="C178" s="2">
        <v>43922</v>
      </c>
      <c r="D178" s="1" t="s">
        <v>424</v>
      </c>
      <c r="E178" s="1" t="s">
        <v>365</v>
      </c>
      <c r="F178" s="2">
        <v>44075</v>
      </c>
      <c r="G178" s="1" t="s">
        <v>366</v>
      </c>
      <c r="H178" s="1"/>
      <c r="I178" s="1"/>
      <c r="J178" s="1"/>
      <c r="K178" s="1"/>
      <c r="L178" s="1"/>
      <c r="M178" s="1">
        <v>1</v>
      </c>
      <c r="N178" s="1"/>
      <c r="O178" s="1"/>
    </row>
    <row r="179" spans="1:15" x14ac:dyDescent="0.3">
      <c r="A179" s="1" t="s">
        <v>207</v>
      </c>
      <c r="B179" s="1" t="s">
        <v>29</v>
      </c>
      <c r="C179" s="2">
        <v>43922</v>
      </c>
      <c r="D179" s="1" t="s">
        <v>424</v>
      </c>
      <c r="E179" s="1" t="s">
        <v>365</v>
      </c>
      <c r="F179" s="2"/>
      <c r="G179" s="1"/>
      <c r="H179" s="1"/>
      <c r="I179" s="1"/>
      <c r="J179" s="1"/>
      <c r="K179" s="1"/>
      <c r="L179" s="1"/>
      <c r="M179" s="1">
        <v>1</v>
      </c>
      <c r="N179" s="1">
        <v>1</v>
      </c>
      <c r="O179" s="1">
        <v>1</v>
      </c>
    </row>
    <row r="180" spans="1:15" x14ac:dyDescent="0.3">
      <c r="A180" s="1" t="s">
        <v>208</v>
      </c>
      <c r="B180" s="1" t="s">
        <v>29</v>
      </c>
      <c r="C180" s="2">
        <v>43922</v>
      </c>
      <c r="D180" s="1" t="s">
        <v>424</v>
      </c>
      <c r="E180" s="1" t="s">
        <v>365</v>
      </c>
      <c r="F180" s="2"/>
      <c r="G180" s="1"/>
      <c r="H180" s="1"/>
      <c r="I180" s="1"/>
      <c r="J180" s="1"/>
      <c r="K180" s="1"/>
      <c r="L180" s="1"/>
      <c r="M180" s="1">
        <v>1</v>
      </c>
      <c r="N180" s="1">
        <v>1</v>
      </c>
      <c r="O180" s="1">
        <v>1</v>
      </c>
    </row>
    <row r="181" spans="1:15" x14ac:dyDescent="0.3">
      <c r="A181" s="1" t="s">
        <v>209</v>
      </c>
      <c r="B181" s="1" t="s">
        <v>29</v>
      </c>
      <c r="C181" s="2">
        <v>43922</v>
      </c>
      <c r="D181" s="1" t="s">
        <v>424</v>
      </c>
      <c r="E181" s="1" t="s">
        <v>365</v>
      </c>
      <c r="F181" s="2"/>
      <c r="G181" s="1"/>
      <c r="H181" s="1"/>
      <c r="I181" s="1"/>
      <c r="J181" s="1"/>
      <c r="K181" s="1"/>
      <c r="L181" s="1"/>
      <c r="M181" s="1">
        <v>1</v>
      </c>
      <c r="N181" s="1">
        <v>1</v>
      </c>
      <c r="O181" s="1">
        <v>1</v>
      </c>
    </row>
    <row r="182" spans="1:15" x14ac:dyDescent="0.3">
      <c r="A182" s="1" t="s">
        <v>210</v>
      </c>
      <c r="B182" s="1" t="s">
        <v>29</v>
      </c>
      <c r="C182" s="2">
        <v>43922</v>
      </c>
      <c r="D182" s="1" t="s">
        <v>424</v>
      </c>
      <c r="E182" s="1" t="s">
        <v>365</v>
      </c>
      <c r="F182" s="2"/>
      <c r="G182" s="1"/>
      <c r="H182" s="1"/>
      <c r="I182" s="1"/>
      <c r="J182" s="1"/>
      <c r="K182" s="1"/>
      <c r="L182" s="1"/>
      <c r="M182" s="1">
        <v>1</v>
      </c>
      <c r="N182" s="1">
        <v>1</v>
      </c>
      <c r="O182" s="1">
        <v>1</v>
      </c>
    </row>
    <row r="183" spans="1:15" x14ac:dyDescent="0.3">
      <c r="A183" s="1" t="s">
        <v>211</v>
      </c>
      <c r="B183" s="1" t="s">
        <v>31</v>
      </c>
      <c r="C183" s="2">
        <v>43922</v>
      </c>
      <c r="D183" s="1" t="s">
        <v>424</v>
      </c>
      <c r="E183" s="1" t="s">
        <v>365</v>
      </c>
      <c r="F183" s="2">
        <v>43983</v>
      </c>
      <c r="G183" s="1" t="s">
        <v>365</v>
      </c>
      <c r="H183" s="1"/>
      <c r="I183" s="1"/>
      <c r="J183" s="1"/>
      <c r="K183" s="1"/>
      <c r="L183" s="1"/>
      <c r="M183" s="1"/>
      <c r="N183" s="1"/>
      <c r="O183" s="1"/>
    </row>
    <row r="184" spans="1:15" x14ac:dyDescent="0.3">
      <c r="A184" s="1" t="s">
        <v>212</v>
      </c>
      <c r="B184" s="1" t="s">
        <v>29</v>
      </c>
      <c r="C184" s="2">
        <v>43922</v>
      </c>
      <c r="D184" s="1" t="s">
        <v>424</v>
      </c>
      <c r="E184" s="1" t="s">
        <v>365</v>
      </c>
      <c r="F184" s="2"/>
      <c r="G184" s="1"/>
      <c r="H184" s="1"/>
      <c r="I184" s="1"/>
      <c r="J184" s="1"/>
      <c r="K184" s="1"/>
      <c r="L184" s="1"/>
      <c r="M184" s="1">
        <v>1</v>
      </c>
      <c r="N184" s="1">
        <v>1</v>
      </c>
      <c r="O184" s="1">
        <v>1</v>
      </c>
    </row>
    <row r="185" spans="1:15" x14ac:dyDescent="0.3">
      <c r="A185" s="1" t="s">
        <v>213</v>
      </c>
      <c r="B185" s="1" t="s">
        <v>29</v>
      </c>
      <c r="C185" s="2">
        <v>43922</v>
      </c>
      <c r="D185" s="1" t="s">
        <v>424</v>
      </c>
      <c r="E185" s="1" t="s">
        <v>365</v>
      </c>
      <c r="F185" s="2"/>
      <c r="G185" s="1"/>
      <c r="H185" s="1"/>
      <c r="I185" s="1"/>
      <c r="J185" s="1"/>
      <c r="K185" s="1"/>
      <c r="L185" s="1"/>
      <c r="M185" s="1">
        <v>1</v>
      </c>
      <c r="N185" s="1">
        <v>1</v>
      </c>
      <c r="O185" s="1">
        <v>1</v>
      </c>
    </row>
    <row r="186" spans="1:15" x14ac:dyDescent="0.3">
      <c r="A186" s="1" t="s">
        <v>214</v>
      </c>
      <c r="B186" s="1" t="s">
        <v>29</v>
      </c>
      <c r="C186" s="2">
        <v>43922</v>
      </c>
      <c r="D186" s="1" t="s">
        <v>424</v>
      </c>
      <c r="E186" s="1" t="s">
        <v>365</v>
      </c>
      <c r="F186" s="2"/>
      <c r="G186" s="1"/>
      <c r="H186" s="1"/>
      <c r="I186" s="1"/>
      <c r="J186" s="1"/>
      <c r="K186" s="1"/>
      <c r="L186" s="1"/>
      <c r="M186" s="1">
        <v>1</v>
      </c>
      <c r="N186" s="1">
        <v>1</v>
      </c>
      <c r="O186" s="1">
        <v>1</v>
      </c>
    </row>
    <row r="187" spans="1:15" x14ac:dyDescent="0.3">
      <c r="A187" s="1" t="s">
        <v>215</v>
      </c>
      <c r="B187" s="1" t="s">
        <v>29</v>
      </c>
      <c r="C187" s="2">
        <v>43922</v>
      </c>
      <c r="D187" s="1" t="s">
        <v>424</v>
      </c>
      <c r="E187" s="1" t="s">
        <v>365</v>
      </c>
      <c r="F187" s="2"/>
      <c r="G187" s="1"/>
      <c r="H187" s="1"/>
      <c r="I187" s="1"/>
      <c r="J187" s="1"/>
      <c r="K187" s="1"/>
      <c r="L187" s="1"/>
      <c r="M187" s="1">
        <v>1</v>
      </c>
      <c r="N187" s="1">
        <v>1</v>
      </c>
      <c r="O187" s="1">
        <v>1</v>
      </c>
    </row>
    <row r="188" spans="1:15" x14ac:dyDescent="0.3">
      <c r="A188" s="1" t="s">
        <v>216</v>
      </c>
      <c r="B188" s="1" t="s">
        <v>29</v>
      </c>
      <c r="C188" s="2">
        <v>43922</v>
      </c>
      <c r="D188" s="1" t="s">
        <v>424</v>
      </c>
      <c r="E188" s="1" t="s">
        <v>365</v>
      </c>
      <c r="F188" s="2"/>
      <c r="G188" s="1"/>
      <c r="H188" s="1"/>
      <c r="I188" s="1"/>
      <c r="J188" s="1"/>
      <c r="K188" s="1"/>
      <c r="L188" s="1"/>
      <c r="M188" s="1">
        <v>1</v>
      </c>
      <c r="N188" s="1">
        <v>1</v>
      </c>
      <c r="O188" s="1">
        <v>1</v>
      </c>
    </row>
    <row r="189" spans="1:15" x14ac:dyDescent="0.3">
      <c r="A189" s="1" t="s">
        <v>217</v>
      </c>
      <c r="B189" s="1" t="s">
        <v>29</v>
      </c>
      <c r="C189" s="2">
        <v>43922</v>
      </c>
      <c r="D189" s="1" t="s">
        <v>424</v>
      </c>
      <c r="E189" s="1" t="s">
        <v>365</v>
      </c>
      <c r="F189" s="2"/>
      <c r="G189" s="1"/>
      <c r="H189" s="1"/>
      <c r="I189" s="1"/>
      <c r="J189" s="1"/>
      <c r="K189" s="1"/>
      <c r="L189" s="1"/>
      <c r="M189" s="1">
        <v>1</v>
      </c>
      <c r="N189" s="1">
        <v>1</v>
      </c>
      <c r="O189" s="1">
        <v>1</v>
      </c>
    </row>
    <row r="190" spans="1:15" x14ac:dyDescent="0.3">
      <c r="A190" s="1" t="s">
        <v>218</v>
      </c>
      <c r="B190" s="1" t="s">
        <v>29</v>
      </c>
      <c r="C190" s="2">
        <v>43922</v>
      </c>
      <c r="D190" s="1" t="s">
        <v>424</v>
      </c>
      <c r="E190" s="1" t="s">
        <v>365</v>
      </c>
      <c r="F190" s="2"/>
      <c r="G190" s="1"/>
      <c r="H190" s="1"/>
      <c r="I190" s="1"/>
      <c r="J190" s="1"/>
      <c r="K190" s="1"/>
      <c r="L190" s="1"/>
      <c r="M190" s="1">
        <v>1</v>
      </c>
      <c r="N190" s="1">
        <v>1</v>
      </c>
      <c r="O190" s="1">
        <v>1</v>
      </c>
    </row>
    <row r="191" spans="1:15" x14ac:dyDescent="0.3">
      <c r="A191" s="1" t="s">
        <v>219</v>
      </c>
      <c r="B191" s="1" t="s">
        <v>29</v>
      </c>
      <c r="C191" s="2">
        <v>43922</v>
      </c>
      <c r="D191" s="1" t="s">
        <v>424</v>
      </c>
      <c r="E191" s="1" t="s">
        <v>365</v>
      </c>
      <c r="F191" s="2"/>
      <c r="G191" s="1"/>
      <c r="H191" s="1"/>
      <c r="I191" s="1"/>
      <c r="J191" s="1"/>
      <c r="K191" s="1"/>
      <c r="L191" s="1"/>
      <c r="M191" s="1">
        <v>1</v>
      </c>
      <c r="N191" s="1">
        <v>1</v>
      </c>
      <c r="O191" s="1">
        <v>1</v>
      </c>
    </row>
    <row r="192" spans="1:15" x14ac:dyDescent="0.3">
      <c r="A192" s="1" t="s">
        <v>220</v>
      </c>
      <c r="B192" s="1" t="s">
        <v>29</v>
      </c>
      <c r="C192" s="2">
        <v>43922</v>
      </c>
      <c r="D192" s="1" t="s">
        <v>424</v>
      </c>
      <c r="E192" s="1" t="s">
        <v>365</v>
      </c>
      <c r="F192" s="2"/>
      <c r="G192" s="1"/>
      <c r="H192" s="1"/>
      <c r="I192" s="1"/>
      <c r="J192" s="1"/>
      <c r="K192" s="1"/>
      <c r="L192" s="1"/>
      <c r="M192" s="1">
        <v>1</v>
      </c>
      <c r="N192" s="1">
        <v>1</v>
      </c>
      <c r="O192" s="1">
        <v>1</v>
      </c>
    </row>
    <row r="193" spans="1:15" x14ac:dyDescent="0.3">
      <c r="A193" s="1" t="s">
        <v>221</v>
      </c>
      <c r="B193" s="1" t="s">
        <v>29</v>
      </c>
      <c r="C193" s="2">
        <v>43922</v>
      </c>
      <c r="D193" s="1" t="s">
        <v>424</v>
      </c>
      <c r="E193" s="1" t="s">
        <v>365</v>
      </c>
      <c r="F193" s="2"/>
      <c r="G193" s="1"/>
      <c r="H193" s="1"/>
      <c r="I193" s="1"/>
      <c r="J193" s="1"/>
      <c r="K193" s="1"/>
      <c r="L193" s="1"/>
      <c r="M193" s="1">
        <v>1</v>
      </c>
      <c r="N193" s="1">
        <v>1</v>
      </c>
      <c r="O193" s="1">
        <v>1</v>
      </c>
    </row>
    <row r="194" spans="1:15" x14ac:dyDescent="0.3">
      <c r="A194" s="1" t="s">
        <v>222</v>
      </c>
      <c r="B194" s="1" t="s">
        <v>31</v>
      </c>
      <c r="C194" s="2">
        <v>43952</v>
      </c>
      <c r="D194" s="1" t="s">
        <v>424</v>
      </c>
      <c r="E194" s="1" t="s">
        <v>365</v>
      </c>
      <c r="F194" s="2">
        <v>44075</v>
      </c>
      <c r="G194" s="1" t="s">
        <v>366</v>
      </c>
      <c r="H194" s="1"/>
      <c r="I194" s="1"/>
      <c r="J194" s="1"/>
      <c r="K194" s="1"/>
      <c r="L194" s="1"/>
      <c r="M194" s="1">
        <v>1</v>
      </c>
      <c r="N194" s="1"/>
      <c r="O194" s="1"/>
    </row>
    <row r="195" spans="1:15" x14ac:dyDescent="0.3">
      <c r="A195" s="1" t="s">
        <v>223</v>
      </c>
      <c r="B195" s="1" t="s">
        <v>29</v>
      </c>
      <c r="C195" s="2">
        <v>43952</v>
      </c>
      <c r="D195" s="1" t="s">
        <v>424</v>
      </c>
      <c r="E195" s="1" t="s">
        <v>365</v>
      </c>
      <c r="F195" s="2"/>
      <c r="G195" s="1"/>
      <c r="H195" s="1"/>
      <c r="I195" s="1"/>
      <c r="J195" s="1"/>
      <c r="K195" s="1"/>
      <c r="L195" s="1"/>
      <c r="M195" s="1">
        <v>1</v>
      </c>
      <c r="N195" s="1">
        <v>1</v>
      </c>
      <c r="O195" s="1">
        <v>1</v>
      </c>
    </row>
    <row r="196" spans="1:15" x14ac:dyDescent="0.3">
      <c r="A196" s="1" t="s">
        <v>224</v>
      </c>
      <c r="B196" s="1" t="s">
        <v>29</v>
      </c>
      <c r="C196" s="2">
        <v>43952</v>
      </c>
      <c r="D196" s="1" t="s">
        <v>424</v>
      </c>
      <c r="E196" s="1" t="s">
        <v>365</v>
      </c>
      <c r="F196" s="2"/>
      <c r="G196" s="1"/>
      <c r="H196" s="1"/>
      <c r="I196" s="1"/>
      <c r="J196" s="1"/>
      <c r="K196" s="1"/>
      <c r="L196" s="1"/>
      <c r="M196" s="1">
        <v>1</v>
      </c>
      <c r="N196" s="1">
        <v>1</v>
      </c>
      <c r="O196" s="1">
        <v>1</v>
      </c>
    </row>
    <row r="197" spans="1:15" x14ac:dyDescent="0.3">
      <c r="A197" s="1" t="s">
        <v>225</v>
      </c>
      <c r="B197" s="1" t="s">
        <v>29</v>
      </c>
      <c r="C197" s="2">
        <v>43952</v>
      </c>
      <c r="D197" s="1" t="s">
        <v>424</v>
      </c>
      <c r="E197" s="1" t="s">
        <v>365</v>
      </c>
      <c r="F197" s="2"/>
      <c r="G197" s="1"/>
      <c r="H197" s="1"/>
      <c r="I197" s="1"/>
      <c r="J197" s="1"/>
      <c r="K197" s="1"/>
      <c r="L197" s="1"/>
      <c r="M197" s="1">
        <v>1</v>
      </c>
      <c r="N197" s="1">
        <v>1</v>
      </c>
      <c r="O197" s="1">
        <v>1</v>
      </c>
    </row>
    <row r="198" spans="1:15" x14ac:dyDescent="0.3">
      <c r="A198" s="1" t="s">
        <v>226</v>
      </c>
      <c r="B198" s="1" t="s">
        <v>31</v>
      </c>
      <c r="C198" s="2">
        <v>43952</v>
      </c>
      <c r="D198" s="1" t="s">
        <v>424</v>
      </c>
      <c r="E198" s="1" t="s">
        <v>365</v>
      </c>
      <c r="F198" s="2">
        <v>44075</v>
      </c>
      <c r="G198" s="1" t="s">
        <v>366</v>
      </c>
      <c r="H198" s="1"/>
      <c r="I198" s="1"/>
      <c r="J198" s="1"/>
      <c r="K198" s="1"/>
      <c r="L198" s="1"/>
      <c r="M198" s="1">
        <v>1</v>
      </c>
      <c r="N198" s="1"/>
      <c r="O198" s="1"/>
    </row>
    <row r="199" spans="1:15" x14ac:dyDescent="0.3">
      <c r="A199" s="1" t="s">
        <v>227</v>
      </c>
      <c r="B199" s="1" t="s">
        <v>29</v>
      </c>
      <c r="C199" s="2">
        <v>43952</v>
      </c>
      <c r="D199" s="1" t="s">
        <v>424</v>
      </c>
      <c r="E199" s="1" t="s">
        <v>365</v>
      </c>
      <c r="F199" s="2"/>
      <c r="G199" s="1"/>
      <c r="H199" s="1"/>
      <c r="I199" s="1"/>
      <c r="J199" s="1"/>
      <c r="K199" s="1"/>
      <c r="L199" s="1"/>
      <c r="M199" s="1">
        <v>1</v>
      </c>
      <c r="N199" s="1">
        <v>1</v>
      </c>
      <c r="O199" s="1">
        <v>1</v>
      </c>
    </row>
    <row r="200" spans="1:15" x14ac:dyDescent="0.3">
      <c r="A200" s="1" t="s">
        <v>228</v>
      </c>
      <c r="B200" s="1" t="s">
        <v>31</v>
      </c>
      <c r="C200" s="2">
        <v>43952</v>
      </c>
      <c r="D200" s="1" t="s">
        <v>424</v>
      </c>
      <c r="E200" s="1" t="s">
        <v>365</v>
      </c>
      <c r="F200" s="2">
        <v>44075</v>
      </c>
      <c r="G200" s="1" t="s">
        <v>366</v>
      </c>
      <c r="H200" s="1"/>
      <c r="I200" s="1"/>
      <c r="J200" s="1"/>
      <c r="K200" s="1"/>
      <c r="L200" s="1"/>
      <c r="M200" s="1">
        <v>1</v>
      </c>
      <c r="N200" s="1"/>
      <c r="O200" s="1"/>
    </row>
    <row r="201" spans="1:15" x14ac:dyDescent="0.3">
      <c r="A201" s="1" t="s">
        <v>229</v>
      </c>
      <c r="B201" s="1" t="s">
        <v>29</v>
      </c>
      <c r="C201" s="2">
        <v>43952</v>
      </c>
      <c r="D201" s="1" t="s">
        <v>424</v>
      </c>
      <c r="E201" s="1" t="s">
        <v>365</v>
      </c>
      <c r="F201" s="2"/>
      <c r="G201" s="1"/>
      <c r="H201" s="1"/>
      <c r="I201" s="1"/>
      <c r="J201" s="1"/>
      <c r="K201" s="1"/>
      <c r="L201" s="1"/>
      <c r="M201" s="1">
        <v>1</v>
      </c>
      <c r="N201" s="1">
        <v>1</v>
      </c>
      <c r="O201" s="1">
        <v>1</v>
      </c>
    </row>
    <row r="202" spans="1:15" x14ac:dyDescent="0.3">
      <c r="A202" s="1" t="s">
        <v>230</v>
      </c>
      <c r="B202" s="1" t="s">
        <v>31</v>
      </c>
      <c r="C202" s="2">
        <v>43952</v>
      </c>
      <c r="D202" s="1" t="s">
        <v>424</v>
      </c>
      <c r="E202" s="1" t="s">
        <v>365</v>
      </c>
      <c r="F202" s="2">
        <v>44105</v>
      </c>
      <c r="G202" s="1" t="s">
        <v>367</v>
      </c>
      <c r="H202" s="1"/>
      <c r="I202" s="1"/>
      <c r="J202" s="1"/>
      <c r="K202" s="1"/>
      <c r="L202" s="1"/>
      <c r="M202" s="1">
        <v>1</v>
      </c>
      <c r="N202" s="1">
        <v>1</v>
      </c>
      <c r="O202" s="1"/>
    </row>
    <row r="203" spans="1:15" x14ac:dyDescent="0.3">
      <c r="A203" s="1" t="s">
        <v>231</v>
      </c>
      <c r="B203" s="1" t="s">
        <v>31</v>
      </c>
      <c r="C203" s="2">
        <v>43952</v>
      </c>
      <c r="D203" s="1" t="s">
        <v>424</v>
      </c>
      <c r="E203" s="1" t="s">
        <v>365</v>
      </c>
      <c r="F203" s="2">
        <v>44044</v>
      </c>
      <c r="G203" s="1" t="s">
        <v>366</v>
      </c>
      <c r="H203" s="1"/>
      <c r="I203" s="1"/>
      <c r="J203" s="1"/>
      <c r="K203" s="1"/>
      <c r="L203" s="1"/>
      <c r="M203" s="1">
        <v>1</v>
      </c>
      <c r="N203" s="1"/>
      <c r="O203" s="1"/>
    </row>
    <row r="204" spans="1:15" x14ac:dyDescent="0.3">
      <c r="A204" s="1" t="s">
        <v>232</v>
      </c>
      <c r="B204" s="1" t="s">
        <v>31</v>
      </c>
      <c r="C204" s="2">
        <v>43952</v>
      </c>
      <c r="D204" s="1" t="s">
        <v>424</v>
      </c>
      <c r="E204" s="1" t="s">
        <v>365</v>
      </c>
      <c r="F204" s="2">
        <v>44105</v>
      </c>
      <c r="G204" s="1" t="s">
        <v>367</v>
      </c>
      <c r="H204" s="1"/>
      <c r="I204" s="1"/>
      <c r="J204" s="1"/>
      <c r="K204" s="1"/>
      <c r="L204" s="1"/>
      <c r="M204" s="1">
        <v>1</v>
      </c>
      <c r="N204" s="1">
        <v>1</v>
      </c>
      <c r="O204" s="1"/>
    </row>
    <row r="205" spans="1:15" x14ac:dyDescent="0.3">
      <c r="A205" s="1" t="s">
        <v>233</v>
      </c>
      <c r="B205" s="1" t="s">
        <v>29</v>
      </c>
      <c r="C205" s="2">
        <v>43952</v>
      </c>
      <c r="D205" s="1" t="s">
        <v>424</v>
      </c>
      <c r="E205" s="1" t="s">
        <v>365</v>
      </c>
      <c r="F205" s="2"/>
      <c r="G205" s="1"/>
      <c r="H205" s="1"/>
      <c r="I205" s="1"/>
      <c r="J205" s="1"/>
      <c r="K205" s="1"/>
      <c r="L205" s="1"/>
      <c r="M205" s="1">
        <v>1</v>
      </c>
      <c r="N205" s="1">
        <v>1</v>
      </c>
      <c r="O205" s="1">
        <v>1</v>
      </c>
    </row>
    <row r="206" spans="1:15" x14ac:dyDescent="0.3">
      <c r="A206" s="1" t="s">
        <v>234</v>
      </c>
      <c r="B206" s="1" t="s">
        <v>31</v>
      </c>
      <c r="C206" s="2">
        <v>43952</v>
      </c>
      <c r="D206" s="1" t="s">
        <v>424</v>
      </c>
      <c r="E206" s="1" t="s">
        <v>365</v>
      </c>
      <c r="F206" s="2">
        <v>43983</v>
      </c>
      <c r="G206" s="1" t="s">
        <v>365</v>
      </c>
      <c r="H206" s="1"/>
      <c r="I206" s="1"/>
      <c r="J206" s="1"/>
      <c r="K206" s="1"/>
      <c r="L206" s="1"/>
      <c r="M206" s="1"/>
      <c r="N206" s="1"/>
      <c r="O206" s="1"/>
    </row>
    <row r="207" spans="1:15" x14ac:dyDescent="0.3">
      <c r="A207" s="1" t="s">
        <v>235</v>
      </c>
      <c r="B207" s="1" t="s">
        <v>29</v>
      </c>
      <c r="C207" s="2">
        <v>43952</v>
      </c>
      <c r="D207" s="1" t="s">
        <v>424</v>
      </c>
      <c r="E207" s="1" t="s">
        <v>365</v>
      </c>
      <c r="F207" s="2"/>
      <c r="G207" s="1"/>
      <c r="H207" s="1"/>
      <c r="I207" s="1"/>
      <c r="J207" s="1"/>
      <c r="K207" s="1"/>
      <c r="L207" s="1"/>
      <c r="M207" s="1">
        <v>1</v>
      </c>
      <c r="N207" s="1">
        <v>1</v>
      </c>
      <c r="O207" s="1">
        <v>1</v>
      </c>
    </row>
    <row r="208" spans="1:15" x14ac:dyDescent="0.3">
      <c r="A208" s="1" t="s">
        <v>236</v>
      </c>
      <c r="B208" s="1" t="s">
        <v>31</v>
      </c>
      <c r="C208" s="2">
        <v>43952</v>
      </c>
      <c r="D208" s="1" t="s">
        <v>424</v>
      </c>
      <c r="E208" s="1" t="s">
        <v>365</v>
      </c>
      <c r="F208" s="2">
        <v>44136</v>
      </c>
      <c r="G208" s="1" t="s">
        <v>367</v>
      </c>
      <c r="H208" s="1"/>
      <c r="I208" s="1"/>
      <c r="J208" s="1"/>
      <c r="K208" s="1"/>
      <c r="L208" s="1"/>
      <c r="M208" s="1">
        <v>1</v>
      </c>
      <c r="N208" s="1">
        <v>1</v>
      </c>
      <c r="O208" s="1"/>
    </row>
    <row r="209" spans="1:15" x14ac:dyDescent="0.3">
      <c r="A209" s="1" t="s">
        <v>237</v>
      </c>
      <c r="B209" s="1" t="s">
        <v>29</v>
      </c>
      <c r="C209" s="2">
        <v>43952</v>
      </c>
      <c r="D209" s="1" t="s">
        <v>424</v>
      </c>
      <c r="E209" s="1" t="s">
        <v>365</v>
      </c>
      <c r="F209" s="2"/>
      <c r="G209" s="1"/>
      <c r="H209" s="1"/>
      <c r="I209" s="1"/>
      <c r="J209" s="1"/>
      <c r="K209" s="1"/>
      <c r="L209" s="1"/>
      <c r="M209" s="1">
        <v>1</v>
      </c>
      <c r="N209" s="1">
        <v>1</v>
      </c>
      <c r="O209" s="1">
        <v>1</v>
      </c>
    </row>
    <row r="210" spans="1:15" x14ac:dyDescent="0.3">
      <c r="A210" s="1" t="s">
        <v>238</v>
      </c>
      <c r="B210" s="1" t="s">
        <v>29</v>
      </c>
      <c r="C210" s="2">
        <v>43952</v>
      </c>
      <c r="D210" s="1" t="s">
        <v>424</v>
      </c>
      <c r="E210" s="1" t="s">
        <v>365</v>
      </c>
      <c r="F210" s="2"/>
      <c r="G210" s="1"/>
      <c r="H210" s="1"/>
      <c r="I210" s="1"/>
      <c r="J210" s="1"/>
      <c r="K210" s="1"/>
      <c r="L210" s="1"/>
      <c r="M210" s="1">
        <v>1</v>
      </c>
      <c r="N210" s="1">
        <v>1</v>
      </c>
      <c r="O210" s="1">
        <v>1</v>
      </c>
    </row>
    <row r="211" spans="1:15" x14ac:dyDescent="0.3">
      <c r="A211" s="1" t="s">
        <v>239</v>
      </c>
      <c r="B211" s="1" t="s">
        <v>31</v>
      </c>
      <c r="C211" s="2">
        <v>43952</v>
      </c>
      <c r="D211" s="1" t="s">
        <v>424</v>
      </c>
      <c r="E211" s="1" t="s">
        <v>365</v>
      </c>
      <c r="F211" s="2">
        <v>44075</v>
      </c>
      <c r="G211" s="1" t="s">
        <v>366</v>
      </c>
      <c r="H211" s="1"/>
      <c r="I211" s="1"/>
      <c r="J211" s="1"/>
      <c r="K211" s="1"/>
      <c r="L211" s="1"/>
      <c r="M211" s="1">
        <v>1</v>
      </c>
      <c r="N211" s="1"/>
      <c r="O211" s="1"/>
    </row>
    <row r="212" spans="1:15" x14ac:dyDescent="0.3">
      <c r="A212" s="1" t="s">
        <v>240</v>
      </c>
      <c r="B212" s="1" t="s">
        <v>29</v>
      </c>
      <c r="C212" s="2">
        <v>43952</v>
      </c>
      <c r="D212" s="1" t="s">
        <v>424</v>
      </c>
      <c r="E212" s="1" t="s">
        <v>365</v>
      </c>
      <c r="F212" s="2"/>
      <c r="G212" s="1"/>
      <c r="H212" s="1"/>
      <c r="I212" s="1"/>
      <c r="J212" s="1"/>
      <c r="K212" s="1"/>
      <c r="L212" s="1"/>
      <c r="M212" s="1">
        <v>1</v>
      </c>
      <c r="N212" s="1">
        <v>1</v>
      </c>
      <c r="O212" s="1">
        <v>1</v>
      </c>
    </row>
    <row r="213" spans="1:15" x14ac:dyDescent="0.3">
      <c r="A213" s="1" t="s">
        <v>241</v>
      </c>
      <c r="B213" s="1" t="s">
        <v>29</v>
      </c>
      <c r="C213" s="2">
        <v>43952</v>
      </c>
      <c r="D213" s="1" t="s">
        <v>424</v>
      </c>
      <c r="E213" s="1" t="s">
        <v>365</v>
      </c>
      <c r="F213" s="2"/>
      <c r="G213" s="1"/>
      <c r="H213" s="1"/>
      <c r="I213" s="1"/>
      <c r="J213" s="1"/>
      <c r="K213" s="1"/>
      <c r="L213" s="1"/>
      <c r="M213" s="1">
        <v>1</v>
      </c>
      <c r="N213" s="1">
        <v>1</v>
      </c>
      <c r="O213" s="1">
        <v>1</v>
      </c>
    </row>
    <row r="214" spans="1:15" x14ac:dyDescent="0.3">
      <c r="A214" s="1" t="s">
        <v>242</v>
      </c>
      <c r="B214" s="1" t="s">
        <v>29</v>
      </c>
      <c r="C214" s="2">
        <v>43952</v>
      </c>
      <c r="D214" s="1" t="s">
        <v>424</v>
      </c>
      <c r="E214" s="1" t="s">
        <v>365</v>
      </c>
      <c r="F214" s="2"/>
      <c r="G214" s="1"/>
      <c r="H214" s="1"/>
      <c r="I214" s="1"/>
      <c r="J214" s="1"/>
      <c r="K214" s="1"/>
      <c r="L214" s="1"/>
      <c r="M214" s="1">
        <v>1</v>
      </c>
      <c r="N214" s="1">
        <v>1</v>
      </c>
      <c r="O214" s="1">
        <v>1</v>
      </c>
    </row>
    <row r="215" spans="1:15" x14ac:dyDescent="0.3">
      <c r="A215" s="1" t="s">
        <v>243</v>
      </c>
      <c r="B215" s="1" t="s">
        <v>29</v>
      </c>
      <c r="C215" s="2">
        <v>43952</v>
      </c>
      <c r="D215" s="1" t="s">
        <v>424</v>
      </c>
      <c r="E215" s="1" t="s">
        <v>365</v>
      </c>
      <c r="F215" s="2"/>
      <c r="G215" s="1"/>
      <c r="H215" s="1"/>
      <c r="I215" s="1"/>
      <c r="J215" s="1"/>
      <c r="K215" s="1"/>
      <c r="L215" s="1"/>
      <c r="M215" s="1">
        <v>1</v>
      </c>
      <c r="N215" s="1">
        <v>1</v>
      </c>
      <c r="O215" s="1">
        <v>1</v>
      </c>
    </row>
    <row r="216" spans="1:15" x14ac:dyDescent="0.3">
      <c r="A216" s="1" t="s">
        <v>244</v>
      </c>
      <c r="B216" s="1" t="s">
        <v>29</v>
      </c>
      <c r="C216" s="2">
        <v>43952</v>
      </c>
      <c r="D216" s="1" t="s">
        <v>424</v>
      </c>
      <c r="E216" s="1" t="s">
        <v>365</v>
      </c>
      <c r="F216" s="2"/>
      <c r="G216" s="1"/>
      <c r="H216" s="1"/>
      <c r="I216" s="1"/>
      <c r="J216" s="1"/>
      <c r="K216" s="1"/>
      <c r="L216" s="1"/>
      <c r="M216" s="1">
        <v>1</v>
      </c>
      <c r="N216" s="1">
        <v>1</v>
      </c>
      <c r="O216" s="1">
        <v>1</v>
      </c>
    </row>
    <row r="217" spans="1:15" x14ac:dyDescent="0.3">
      <c r="A217" s="1" t="s">
        <v>245</v>
      </c>
      <c r="B217" s="1" t="s">
        <v>29</v>
      </c>
      <c r="C217" s="2">
        <v>43952</v>
      </c>
      <c r="D217" s="1" t="s">
        <v>424</v>
      </c>
      <c r="E217" s="1" t="s">
        <v>365</v>
      </c>
      <c r="F217" s="2"/>
      <c r="G217" s="1"/>
      <c r="H217" s="1"/>
      <c r="I217" s="1"/>
      <c r="J217" s="1"/>
      <c r="K217" s="1"/>
      <c r="L217" s="1"/>
      <c r="M217" s="1">
        <v>1</v>
      </c>
      <c r="N217" s="1">
        <v>1</v>
      </c>
      <c r="O217" s="1">
        <v>1</v>
      </c>
    </row>
    <row r="218" spans="1:15" x14ac:dyDescent="0.3">
      <c r="A218" s="1" t="s">
        <v>246</v>
      </c>
      <c r="B218" s="1" t="s">
        <v>29</v>
      </c>
      <c r="C218" s="2">
        <v>43952</v>
      </c>
      <c r="D218" s="1" t="s">
        <v>424</v>
      </c>
      <c r="E218" s="1" t="s">
        <v>365</v>
      </c>
      <c r="F218" s="2"/>
      <c r="G218" s="1"/>
      <c r="H218" s="1"/>
      <c r="I218" s="1"/>
      <c r="J218" s="1"/>
      <c r="K218" s="1"/>
      <c r="L218" s="1"/>
      <c r="M218" s="1">
        <v>1</v>
      </c>
      <c r="N218" s="1">
        <v>1</v>
      </c>
      <c r="O218" s="1">
        <v>1</v>
      </c>
    </row>
    <row r="219" spans="1:15" x14ac:dyDescent="0.3">
      <c r="A219" s="1" t="s">
        <v>247</v>
      </c>
      <c r="B219" s="1" t="s">
        <v>31</v>
      </c>
      <c r="C219" s="2">
        <v>43983</v>
      </c>
      <c r="D219" s="1" t="s">
        <v>424</v>
      </c>
      <c r="E219" s="1" t="s">
        <v>365</v>
      </c>
      <c r="F219" s="2">
        <v>44166</v>
      </c>
      <c r="G219" s="1" t="s">
        <v>367</v>
      </c>
      <c r="H219" s="1"/>
      <c r="I219" s="1"/>
      <c r="J219" s="1"/>
      <c r="K219" s="1"/>
      <c r="L219" s="1"/>
      <c r="M219" s="1">
        <v>1</v>
      </c>
      <c r="N219" s="1">
        <v>1</v>
      </c>
      <c r="O219" s="1"/>
    </row>
    <row r="220" spans="1:15" x14ac:dyDescent="0.3">
      <c r="A220" s="1" t="s">
        <v>248</v>
      </c>
      <c r="B220" s="1" t="s">
        <v>31</v>
      </c>
      <c r="C220" s="2">
        <v>43983</v>
      </c>
      <c r="D220" s="1" t="s">
        <v>424</v>
      </c>
      <c r="E220" s="1" t="s">
        <v>365</v>
      </c>
      <c r="F220" s="2">
        <v>44166</v>
      </c>
      <c r="G220" s="1" t="s">
        <v>367</v>
      </c>
      <c r="H220" s="1"/>
      <c r="I220" s="1"/>
      <c r="J220" s="1"/>
      <c r="K220" s="1"/>
      <c r="L220" s="1"/>
      <c r="M220" s="1">
        <v>1</v>
      </c>
      <c r="N220" s="1">
        <v>1</v>
      </c>
      <c r="O220" s="1"/>
    </row>
    <row r="221" spans="1:15" x14ac:dyDescent="0.3">
      <c r="A221" s="1" t="s">
        <v>249</v>
      </c>
      <c r="B221" s="1" t="s">
        <v>29</v>
      </c>
      <c r="C221" s="2">
        <v>43983</v>
      </c>
      <c r="D221" s="1" t="s">
        <v>424</v>
      </c>
      <c r="E221" s="1" t="s">
        <v>365</v>
      </c>
      <c r="F221" s="2"/>
      <c r="G221" s="1"/>
      <c r="H221" s="1"/>
      <c r="I221" s="1"/>
      <c r="J221" s="1"/>
      <c r="K221" s="1"/>
      <c r="L221" s="1"/>
      <c r="M221" s="1">
        <v>1</v>
      </c>
      <c r="N221" s="1">
        <v>1</v>
      </c>
      <c r="O221" s="1">
        <v>1</v>
      </c>
    </row>
    <row r="222" spans="1:15" x14ac:dyDescent="0.3">
      <c r="A222" s="1" t="s">
        <v>250</v>
      </c>
      <c r="B222" s="1" t="s">
        <v>29</v>
      </c>
      <c r="C222" s="2">
        <v>43983</v>
      </c>
      <c r="D222" s="1" t="s">
        <v>424</v>
      </c>
      <c r="E222" s="1" t="s">
        <v>365</v>
      </c>
      <c r="F222" s="2"/>
      <c r="G222" s="1"/>
      <c r="H222" s="1"/>
      <c r="I222" s="1"/>
      <c r="J222" s="1"/>
      <c r="K222" s="1"/>
      <c r="L222" s="1"/>
      <c r="M222" s="1">
        <v>1</v>
      </c>
      <c r="N222" s="1">
        <v>1</v>
      </c>
      <c r="O222" s="1">
        <v>1</v>
      </c>
    </row>
    <row r="223" spans="1:15" x14ac:dyDescent="0.3">
      <c r="A223" s="1" t="s">
        <v>251</v>
      </c>
      <c r="B223" s="1" t="s">
        <v>29</v>
      </c>
      <c r="C223" s="2">
        <v>43983</v>
      </c>
      <c r="D223" s="1" t="s">
        <v>424</v>
      </c>
      <c r="E223" s="1" t="s">
        <v>365</v>
      </c>
      <c r="F223" s="2"/>
      <c r="G223" s="1"/>
      <c r="H223" s="1"/>
      <c r="I223" s="1"/>
      <c r="J223" s="1"/>
      <c r="K223" s="1"/>
      <c r="L223" s="1"/>
      <c r="M223" s="1">
        <v>1</v>
      </c>
      <c r="N223" s="1">
        <v>1</v>
      </c>
      <c r="O223" s="1">
        <v>1</v>
      </c>
    </row>
    <row r="224" spans="1:15" x14ac:dyDescent="0.3">
      <c r="A224" s="1" t="s">
        <v>252</v>
      </c>
      <c r="B224" s="1" t="s">
        <v>31</v>
      </c>
      <c r="C224" s="2">
        <v>43983</v>
      </c>
      <c r="D224" s="1" t="s">
        <v>424</v>
      </c>
      <c r="E224" s="1" t="s">
        <v>365</v>
      </c>
      <c r="F224" s="2">
        <v>44075</v>
      </c>
      <c r="G224" s="1" t="s">
        <v>366</v>
      </c>
      <c r="H224" s="1"/>
      <c r="I224" s="1"/>
      <c r="J224" s="1"/>
      <c r="K224" s="1"/>
      <c r="L224" s="1"/>
      <c r="M224" s="1">
        <v>1</v>
      </c>
      <c r="N224" s="1"/>
      <c r="O224" s="1"/>
    </row>
    <row r="225" spans="1:15" x14ac:dyDescent="0.3">
      <c r="A225" s="1" t="s">
        <v>253</v>
      </c>
      <c r="B225" s="1" t="s">
        <v>29</v>
      </c>
      <c r="C225" s="2">
        <v>43983</v>
      </c>
      <c r="D225" s="1" t="s">
        <v>424</v>
      </c>
      <c r="E225" s="1" t="s">
        <v>365</v>
      </c>
      <c r="F225" s="2"/>
      <c r="G225" s="1"/>
      <c r="H225" s="1"/>
      <c r="I225" s="1"/>
      <c r="J225" s="1"/>
      <c r="K225" s="1"/>
      <c r="L225" s="1"/>
      <c r="M225" s="1">
        <v>1</v>
      </c>
      <c r="N225" s="1">
        <v>1</v>
      </c>
      <c r="O225" s="1">
        <v>1</v>
      </c>
    </row>
    <row r="226" spans="1:15" x14ac:dyDescent="0.3">
      <c r="A226" s="1" t="s">
        <v>254</v>
      </c>
      <c r="B226" s="1" t="s">
        <v>29</v>
      </c>
      <c r="C226" s="2">
        <v>43983</v>
      </c>
      <c r="D226" s="1" t="s">
        <v>424</v>
      </c>
      <c r="E226" s="1" t="s">
        <v>365</v>
      </c>
      <c r="F226" s="2"/>
      <c r="G226" s="1"/>
      <c r="H226" s="1"/>
      <c r="I226" s="1"/>
      <c r="J226" s="1"/>
      <c r="K226" s="1"/>
      <c r="L226" s="1"/>
      <c r="M226" s="1">
        <v>1</v>
      </c>
      <c r="N226" s="1">
        <v>1</v>
      </c>
      <c r="O226" s="1">
        <v>1</v>
      </c>
    </row>
    <row r="227" spans="1:15" x14ac:dyDescent="0.3">
      <c r="A227" s="1" t="s">
        <v>255</v>
      </c>
      <c r="B227" s="1" t="s">
        <v>29</v>
      </c>
      <c r="C227" s="2">
        <v>43983</v>
      </c>
      <c r="D227" s="1" t="s">
        <v>424</v>
      </c>
      <c r="E227" s="1" t="s">
        <v>365</v>
      </c>
      <c r="F227" s="2"/>
      <c r="G227" s="1"/>
      <c r="H227" s="1"/>
      <c r="I227" s="1"/>
      <c r="J227" s="1"/>
      <c r="K227" s="1"/>
      <c r="L227" s="1"/>
      <c r="M227" s="1">
        <v>1</v>
      </c>
      <c r="N227" s="1">
        <v>1</v>
      </c>
      <c r="O227" s="1">
        <v>1</v>
      </c>
    </row>
    <row r="228" spans="1:15" x14ac:dyDescent="0.3">
      <c r="A228" s="1" t="s">
        <v>256</v>
      </c>
      <c r="B228" s="1" t="s">
        <v>29</v>
      </c>
      <c r="C228" s="2">
        <v>43983</v>
      </c>
      <c r="D228" s="1" t="s">
        <v>424</v>
      </c>
      <c r="E228" s="1" t="s">
        <v>365</v>
      </c>
      <c r="F228" s="2"/>
      <c r="G228" s="1"/>
      <c r="H228" s="1"/>
      <c r="I228" s="1"/>
      <c r="J228" s="1"/>
      <c r="K228" s="1"/>
      <c r="L228" s="1"/>
      <c r="M228" s="1">
        <v>1</v>
      </c>
      <c r="N228" s="1">
        <v>1</v>
      </c>
      <c r="O228" s="1">
        <v>1</v>
      </c>
    </row>
    <row r="229" spans="1:15" x14ac:dyDescent="0.3">
      <c r="A229" s="1" t="s">
        <v>257</v>
      </c>
      <c r="B229" s="1" t="s">
        <v>29</v>
      </c>
      <c r="C229" s="2">
        <v>43983</v>
      </c>
      <c r="D229" s="1" t="s">
        <v>424</v>
      </c>
      <c r="E229" s="1" t="s">
        <v>365</v>
      </c>
      <c r="F229" s="2"/>
      <c r="G229" s="1"/>
      <c r="H229" s="1"/>
      <c r="I229" s="1"/>
      <c r="J229" s="1"/>
      <c r="K229" s="1"/>
      <c r="L229" s="1"/>
      <c r="M229" s="1">
        <v>1</v>
      </c>
      <c r="N229" s="1">
        <v>1</v>
      </c>
      <c r="O229" s="1">
        <v>1</v>
      </c>
    </row>
    <row r="230" spans="1:15" x14ac:dyDescent="0.3">
      <c r="A230" s="1" t="s">
        <v>258</v>
      </c>
      <c r="B230" s="1" t="s">
        <v>29</v>
      </c>
      <c r="C230" s="2">
        <v>43983</v>
      </c>
      <c r="D230" s="1" t="s">
        <v>424</v>
      </c>
      <c r="E230" s="1" t="s">
        <v>365</v>
      </c>
      <c r="F230" s="2"/>
      <c r="G230" s="1"/>
      <c r="H230" s="1"/>
      <c r="I230" s="1"/>
      <c r="J230" s="1"/>
      <c r="K230" s="1"/>
      <c r="L230" s="1"/>
      <c r="M230" s="1">
        <v>1</v>
      </c>
      <c r="N230" s="1">
        <v>1</v>
      </c>
      <c r="O230" s="1">
        <v>1</v>
      </c>
    </row>
    <row r="231" spans="1:15" x14ac:dyDescent="0.3">
      <c r="A231" s="1" t="s">
        <v>259</v>
      </c>
      <c r="B231" s="1" t="s">
        <v>29</v>
      </c>
      <c r="C231" s="2">
        <v>43983</v>
      </c>
      <c r="D231" s="1" t="s">
        <v>424</v>
      </c>
      <c r="E231" s="1" t="s">
        <v>365</v>
      </c>
      <c r="F231" s="2"/>
      <c r="G231" s="1"/>
      <c r="H231" s="1"/>
      <c r="I231" s="1"/>
      <c r="J231" s="1"/>
      <c r="K231" s="1"/>
      <c r="L231" s="1"/>
      <c r="M231" s="1">
        <v>1</v>
      </c>
      <c r="N231" s="1">
        <v>1</v>
      </c>
      <c r="O231" s="1">
        <v>1</v>
      </c>
    </row>
    <row r="232" spans="1:15" x14ac:dyDescent="0.3">
      <c r="A232" s="1" t="s">
        <v>260</v>
      </c>
      <c r="B232" s="1" t="s">
        <v>31</v>
      </c>
      <c r="C232" s="2">
        <v>43983</v>
      </c>
      <c r="D232" s="1" t="s">
        <v>424</v>
      </c>
      <c r="E232" s="1" t="s">
        <v>365</v>
      </c>
      <c r="F232" s="2">
        <v>44166</v>
      </c>
      <c r="G232" s="1" t="s">
        <v>367</v>
      </c>
      <c r="H232" s="1"/>
      <c r="I232" s="1"/>
      <c r="J232" s="1"/>
      <c r="K232" s="1"/>
      <c r="L232" s="1"/>
      <c r="M232" s="1">
        <v>1</v>
      </c>
      <c r="N232" s="1">
        <v>1</v>
      </c>
      <c r="O232" s="1"/>
    </row>
    <row r="233" spans="1:15" x14ac:dyDescent="0.3">
      <c r="A233" s="1" t="s">
        <v>261</v>
      </c>
      <c r="B233" s="1" t="s">
        <v>29</v>
      </c>
      <c r="C233" s="2">
        <v>43983</v>
      </c>
      <c r="D233" s="1" t="s">
        <v>424</v>
      </c>
      <c r="E233" s="1" t="s">
        <v>365</v>
      </c>
      <c r="F233" s="2"/>
      <c r="G233" s="1"/>
      <c r="H233" s="1"/>
      <c r="I233" s="1"/>
      <c r="J233" s="1"/>
      <c r="K233" s="1"/>
      <c r="L233" s="1"/>
      <c r="M233" s="1">
        <v>1</v>
      </c>
      <c r="N233" s="1">
        <v>1</v>
      </c>
      <c r="O233" s="1">
        <v>1</v>
      </c>
    </row>
    <row r="234" spans="1:15" x14ac:dyDescent="0.3">
      <c r="A234" s="1" t="s">
        <v>262</v>
      </c>
      <c r="B234" s="1" t="s">
        <v>31</v>
      </c>
      <c r="C234" s="2">
        <v>43983</v>
      </c>
      <c r="D234" s="1" t="s">
        <v>424</v>
      </c>
      <c r="E234" s="1" t="s">
        <v>365</v>
      </c>
      <c r="F234" s="2">
        <v>44136</v>
      </c>
      <c r="G234" s="1" t="s">
        <v>367</v>
      </c>
      <c r="H234" s="1"/>
      <c r="I234" s="1"/>
      <c r="J234" s="1"/>
      <c r="K234" s="1"/>
      <c r="L234" s="1"/>
      <c r="M234" s="1">
        <v>1</v>
      </c>
      <c r="N234" s="1">
        <v>1</v>
      </c>
      <c r="O234" s="1"/>
    </row>
    <row r="235" spans="1:15" x14ac:dyDescent="0.3">
      <c r="A235" s="1" t="s">
        <v>263</v>
      </c>
      <c r="B235" s="1" t="s">
        <v>29</v>
      </c>
      <c r="C235" s="2">
        <v>43983</v>
      </c>
      <c r="D235" s="1" t="s">
        <v>424</v>
      </c>
      <c r="E235" s="1" t="s">
        <v>365</v>
      </c>
      <c r="F235" s="2"/>
      <c r="G235" s="1"/>
      <c r="H235" s="1"/>
      <c r="I235" s="1"/>
      <c r="J235" s="1"/>
      <c r="K235" s="1"/>
      <c r="L235" s="1"/>
      <c r="M235" s="1">
        <v>1</v>
      </c>
      <c r="N235" s="1">
        <v>1</v>
      </c>
      <c r="O235" s="1">
        <v>1</v>
      </c>
    </row>
    <row r="236" spans="1:15" x14ac:dyDescent="0.3">
      <c r="A236" s="1" t="s">
        <v>264</v>
      </c>
      <c r="B236" s="1" t="s">
        <v>29</v>
      </c>
      <c r="C236" s="2">
        <v>43983</v>
      </c>
      <c r="D236" s="1" t="s">
        <v>424</v>
      </c>
      <c r="E236" s="1" t="s">
        <v>365</v>
      </c>
      <c r="F236" s="2"/>
      <c r="G236" s="1"/>
      <c r="H236" s="1"/>
      <c r="I236" s="1"/>
      <c r="J236" s="1"/>
      <c r="K236" s="1"/>
      <c r="L236" s="1"/>
      <c r="M236" s="1">
        <v>1</v>
      </c>
      <c r="N236" s="1">
        <v>1</v>
      </c>
      <c r="O236" s="1">
        <v>1</v>
      </c>
    </row>
    <row r="237" spans="1:15" x14ac:dyDescent="0.3">
      <c r="A237" s="1" t="s">
        <v>265</v>
      </c>
      <c r="B237" s="1" t="s">
        <v>29</v>
      </c>
      <c r="C237" s="2">
        <v>43983</v>
      </c>
      <c r="D237" s="1" t="s">
        <v>424</v>
      </c>
      <c r="E237" s="1" t="s">
        <v>365</v>
      </c>
      <c r="F237" s="2"/>
      <c r="G237" s="1"/>
      <c r="H237" s="1"/>
      <c r="I237" s="1"/>
      <c r="J237" s="1"/>
      <c r="K237" s="1"/>
      <c r="L237" s="1"/>
      <c r="M237" s="1">
        <v>1</v>
      </c>
      <c r="N237" s="1">
        <v>1</v>
      </c>
      <c r="O237" s="1">
        <v>1</v>
      </c>
    </row>
    <row r="238" spans="1:15" x14ac:dyDescent="0.3">
      <c r="A238" s="1" t="s">
        <v>266</v>
      </c>
      <c r="B238" s="1" t="s">
        <v>29</v>
      </c>
      <c r="C238" s="2">
        <v>43983</v>
      </c>
      <c r="D238" s="1" t="s">
        <v>424</v>
      </c>
      <c r="E238" s="1" t="s">
        <v>365</v>
      </c>
      <c r="F238" s="2"/>
      <c r="G238" s="1"/>
      <c r="H238" s="1"/>
      <c r="I238" s="1"/>
      <c r="J238" s="1"/>
      <c r="K238" s="1"/>
      <c r="L238" s="1"/>
      <c r="M238" s="1">
        <v>1</v>
      </c>
      <c r="N238" s="1">
        <v>1</v>
      </c>
      <c r="O238" s="1">
        <v>1</v>
      </c>
    </row>
    <row r="239" spans="1:15" x14ac:dyDescent="0.3">
      <c r="A239" s="1" t="s">
        <v>267</v>
      </c>
      <c r="B239" s="1" t="s">
        <v>29</v>
      </c>
      <c r="C239" s="2">
        <v>43983</v>
      </c>
      <c r="D239" s="1" t="s">
        <v>424</v>
      </c>
      <c r="E239" s="1" t="s">
        <v>365</v>
      </c>
      <c r="F239" s="2"/>
      <c r="G239" s="1"/>
      <c r="H239" s="1"/>
      <c r="I239" s="1"/>
      <c r="J239" s="1"/>
      <c r="K239" s="1"/>
      <c r="L239" s="1"/>
      <c r="M239" s="1">
        <v>1</v>
      </c>
      <c r="N239" s="1">
        <v>1</v>
      </c>
      <c r="O239" s="1">
        <v>1</v>
      </c>
    </row>
    <row r="240" spans="1:15" x14ac:dyDescent="0.3">
      <c r="A240" s="1" t="s">
        <v>268</v>
      </c>
      <c r="B240" s="1" t="s">
        <v>31</v>
      </c>
      <c r="C240" s="2">
        <v>43983</v>
      </c>
      <c r="D240" s="1" t="s">
        <v>424</v>
      </c>
      <c r="E240" s="1" t="s">
        <v>365</v>
      </c>
      <c r="F240" s="2">
        <v>44075</v>
      </c>
      <c r="G240" s="1" t="s">
        <v>366</v>
      </c>
      <c r="H240" s="1"/>
      <c r="I240" s="1"/>
      <c r="J240" s="1"/>
      <c r="K240" s="1"/>
      <c r="L240" s="1"/>
      <c r="M240" s="1">
        <v>1</v>
      </c>
      <c r="N240" s="1"/>
      <c r="O240" s="1"/>
    </row>
    <row r="241" spans="1:15" x14ac:dyDescent="0.3">
      <c r="A241" s="1" t="s">
        <v>269</v>
      </c>
      <c r="B241" s="1" t="s">
        <v>29</v>
      </c>
      <c r="C241" s="2">
        <v>44013</v>
      </c>
      <c r="D241" s="1" t="s">
        <v>424</v>
      </c>
      <c r="E241" s="1" t="s">
        <v>366</v>
      </c>
      <c r="F241" s="2"/>
      <c r="G241" s="1"/>
      <c r="H241" s="1"/>
      <c r="I241" s="1"/>
      <c r="J241" s="1"/>
      <c r="K241" s="1"/>
      <c r="L241" s="1"/>
      <c r="M241" s="1"/>
      <c r="N241" s="1">
        <v>1</v>
      </c>
      <c r="O241" s="1">
        <v>1</v>
      </c>
    </row>
    <row r="242" spans="1:15" x14ac:dyDescent="0.3">
      <c r="A242" s="1" t="s">
        <v>270</v>
      </c>
      <c r="B242" s="1" t="s">
        <v>29</v>
      </c>
      <c r="C242" s="2">
        <v>44013</v>
      </c>
      <c r="D242" s="1" t="s">
        <v>424</v>
      </c>
      <c r="E242" s="1" t="s">
        <v>366</v>
      </c>
      <c r="F242" s="2"/>
      <c r="G242" s="1"/>
      <c r="H242" s="1"/>
      <c r="I242" s="1"/>
      <c r="J242" s="1"/>
      <c r="K242" s="1"/>
      <c r="L242" s="1"/>
      <c r="M242" s="1"/>
      <c r="N242" s="1">
        <v>1</v>
      </c>
      <c r="O242" s="1">
        <v>1</v>
      </c>
    </row>
    <row r="243" spans="1:15" x14ac:dyDescent="0.3">
      <c r="A243" s="1" t="s">
        <v>271</v>
      </c>
      <c r="B243" s="1" t="s">
        <v>29</v>
      </c>
      <c r="C243" s="2">
        <v>44013</v>
      </c>
      <c r="D243" s="1" t="s">
        <v>424</v>
      </c>
      <c r="E243" s="1" t="s">
        <v>366</v>
      </c>
      <c r="F243" s="2"/>
      <c r="G243" s="1"/>
      <c r="H243" s="1"/>
      <c r="I243" s="1"/>
      <c r="J243" s="1"/>
      <c r="K243" s="1"/>
      <c r="L243" s="1"/>
      <c r="M243" s="1"/>
      <c r="N243" s="1">
        <v>1</v>
      </c>
      <c r="O243" s="1">
        <v>1</v>
      </c>
    </row>
    <row r="244" spans="1:15" x14ac:dyDescent="0.3">
      <c r="A244" s="1" t="s">
        <v>272</v>
      </c>
      <c r="B244" s="1" t="s">
        <v>31</v>
      </c>
      <c r="C244" s="2">
        <v>44013</v>
      </c>
      <c r="D244" s="1" t="s">
        <v>424</v>
      </c>
      <c r="E244" s="1" t="s">
        <v>366</v>
      </c>
      <c r="F244" s="2">
        <v>44136</v>
      </c>
      <c r="G244" s="1" t="s">
        <v>367</v>
      </c>
      <c r="H244" s="1"/>
      <c r="I244" s="1"/>
      <c r="J244" s="1"/>
      <c r="K244" s="1"/>
      <c r="L244" s="1"/>
      <c r="M244" s="1"/>
      <c r="N244" s="1">
        <v>1</v>
      </c>
      <c r="O244" s="1"/>
    </row>
    <row r="245" spans="1:15" x14ac:dyDescent="0.3">
      <c r="A245" s="1" t="s">
        <v>273</v>
      </c>
      <c r="B245" s="1" t="s">
        <v>31</v>
      </c>
      <c r="C245" s="2">
        <v>44013</v>
      </c>
      <c r="D245" s="1" t="s">
        <v>424</v>
      </c>
      <c r="E245" s="1" t="s">
        <v>366</v>
      </c>
      <c r="F245" s="2">
        <v>44136</v>
      </c>
      <c r="G245" s="1" t="s">
        <v>367</v>
      </c>
      <c r="H245" s="1"/>
      <c r="I245" s="1"/>
      <c r="J245" s="1"/>
      <c r="K245" s="1"/>
      <c r="L245" s="1"/>
      <c r="M245" s="1"/>
      <c r="N245" s="1">
        <v>1</v>
      </c>
      <c r="O245" s="1"/>
    </row>
    <row r="246" spans="1:15" x14ac:dyDescent="0.3">
      <c r="A246" s="1" t="s">
        <v>274</v>
      </c>
      <c r="B246" s="1" t="s">
        <v>31</v>
      </c>
      <c r="C246" s="2">
        <v>44013</v>
      </c>
      <c r="D246" s="1" t="s">
        <v>424</v>
      </c>
      <c r="E246" s="1" t="s">
        <v>366</v>
      </c>
      <c r="F246" s="2">
        <v>44075</v>
      </c>
      <c r="G246" s="1" t="s">
        <v>366</v>
      </c>
      <c r="H246" s="1"/>
      <c r="I246" s="1"/>
      <c r="J246" s="1"/>
      <c r="K246" s="1"/>
      <c r="L246" s="1"/>
      <c r="M246" s="1"/>
      <c r="N246" s="1"/>
      <c r="O246" s="1"/>
    </row>
    <row r="247" spans="1:15" x14ac:dyDescent="0.3">
      <c r="A247" s="1" t="s">
        <v>275</v>
      </c>
      <c r="B247" s="1" t="s">
        <v>29</v>
      </c>
      <c r="C247" s="2">
        <v>44013</v>
      </c>
      <c r="D247" s="1" t="s">
        <v>424</v>
      </c>
      <c r="E247" s="1" t="s">
        <v>366</v>
      </c>
      <c r="F247" s="2"/>
      <c r="G247" s="1"/>
      <c r="H247" s="1"/>
      <c r="I247" s="1"/>
      <c r="J247" s="1"/>
      <c r="K247" s="1"/>
      <c r="L247" s="1"/>
      <c r="M247" s="1"/>
      <c r="N247" s="1">
        <v>1</v>
      </c>
      <c r="O247" s="1">
        <v>1</v>
      </c>
    </row>
    <row r="248" spans="1:15" x14ac:dyDescent="0.3">
      <c r="A248" s="1" t="s">
        <v>276</v>
      </c>
      <c r="B248" s="1" t="s">
        <v>29</v>
      </c>
      <c r="C248" s="2">
        <v>44013</v>
      </c>
      <c r="D248" s="1" t="s">
        <v>424</v>
      </c>
      <c r="E248" s="1" t="s">
        <v>366</v>
      </c>
      <c r="F248" s="2"/>
      <c r="G248" s="1"/>
      <c r="H248" s="1"/>
      <c r="I248" s="1"/>
      <c r="J248" s="1"/>
      <c r="K248" s="1"/>
      <c r="L248" s="1"/>
      <c r="M248" s="1"/>
      <c r="N248" s="1">
        <v>1</v>
      </c>
      <c r="O248" s="1">
        <v>1</v>
      </c>
    </row>
    <row r="249" spans="1:15" x14ac:dyDescent="0.3">
      <c r="A249" s="1" t="s">
        <v>277</v>
      </c>
      <c r="B249" s="1" t="s">
        <v>29</v>
      </c>
      <c r="C249" s="2">
        <v>44013</v>
      </c>
      <c r="D249" s="1" t="s">
        <v>424</v>
      </c>
      <c r="E249" s="1" t="s">
        <v>366</v>
      </c>
      <c r="F249" s="2"/>
      <c r="G249" s="1"/>
      <c r="H249" s="1"/>
      <c r="I249" s="1"/>
      <c r="J249" s="1"/>
      <c r="K249" s="1"/>
      <c r="L249" s="1"/>
      <c r="M249" s="1"/>
      <c r="N249" s="1">
        <v>1</v>
      </c>
      <c r="O249" s="1">
        <v>1</v>
      </c>
    </row>
    <row r="250" spans="1:15" x14ac:dyDescent="0.3">
      <c r="A250" s="1" t="s">
        <v>278</v>
      </c>
      <c r="B250" s="1" t="s">
        <v>29</v>
      </c>
      <c r="C250" s="2">
        <v>44013</v>
      </c>
      <c r="D250" s="1" t="s">
        <v>424</v>
      </c>
      <c r="E250" s="1" t="s">
        <v>366</v>
      </c>
      <c r="F250" s="2"/>
      <c r="G250" s="1"/>
      <c r="H250" s="1"/>
      <c r="I250" s="1"/>
      <c r="J250" s="1"/>
      <c r="K250" s="1"/>
      <c r="L250" s="1"/>
      <c r="M250" s="1"/>
      <c r="N250" s="1">
        <v>1</v>
      </c>
      <c r="O250" s="1">
        <v>1</v>
      </c>
    </row>
    <row r="251" spans="1:15" x14ac:dyDescent="0.3">
      <c r="A251" s="1" t="s">
        <v>279</v>
      </c>
      <c r="B251" s="1" t="s">
        <v>29</v>
      </c>
      <c r="C251" s="2">
        <v>44013</v>
      </c>
      <c r="D251" s="1" t="s">
        <v>424</v>
      </c>
      <c r="E251" s="1" t="s">
        <v>366</v>
      </c>
      <c r="F251" s="2"/>
      <c r="G251" s="1"/>
      <c r="H251" s="1"/>
      <c r="I251" s="1"/>
      <c r="J251" s="1"/>
      <c r="K251" s="1"/>
      <c r="L251" s="1"/>
      <c r="M251" s="1"/>
      <c r="N251" s="1">
        <v>1</v>
      </c>
      <c r="O251" s="1">
        <v>1</v>
      </c>
    </row>
    <row r="252" spans="1:15" x14ac:dyDescent="0.3">
      <c r="A252" s="1" t="s">
        <v>280</v>
      </c>
      <c r="B252" s="1" t="s">
        <v>29</v>
      </c>
      <c r="C252" s="2">
        <v>44013</v>
      </c>
      <c r="D252" s="1" t="s">
        <v>424</v>
      </c>
      <c r="E252" s="1" t="s">
        <v>366</v>
      </c>
      <c r="F252" s="2"/>
      <c r="G252" s="1"/>
      <c r="H252" s="1"/>
      <c r="I252" s="1"/>
      <c r="J252" s="1"/>
      <c r="K252" s="1"/>
      <c r="L252" s="1"/>
      <c r="M252" s="1"/>
      <c r="N252" s="1">
        <v>1</v>
      </c>
      <c r="O252" s="1">
        <v>1</v>
      </c>
    </row>
    <row r="253" spans="1:15" x14ac:dyDescent="0.3">
      <c r="A253" s="1" t="s">
        <v>281</v>
      </c>
      <c r="B253" s="1" t="s">
        <v>29</v>
      </c>
      <c r="C253" s="2">
        <v>44013</v>
      </c>
      <c r="D253" s="1" t="s">
        <v>424</v>
      </c>
      <c r="E253" s="1" t="s">
        <v>366</v>
      </c>
      <c r="F253" s="2"/>
      <c r="G253" s="1"/>
      <c r="H253" s="1"/>
      <c r="I253" s="1"/>
      <c r="J253" s="1"/>
      <c r="K253" s="1"/>
      <c r="L253" s="1"/>
      <c r="M253" s="1"/>
      <c r="N253" s="1">
        <v>1</v>
      </c>
      <c r="O253" s="1">
        <v>1</v>
      </c>
    </row>
    <row r="254" spans="1:15" x14ac:dyDescent="0.3">
      <c r="A254" s="1" t="s">
        <v>282</v>
      </c>
      <c r="B254" s="1" t="s">
        <v>29</v>
      </c>
      <c r="C254" s="2">
        <v>44013</v>
      </c>
      <c r="D254" s="1" t="s">
        <v>424</v>
      </c>
      <c r="E254" s="1" t="s">
        <v>366</v>
      </c>
      <c r="F254" s="2"/>
      <c r="G254" s="1"/>
      <c r="H254" s="1"/>
      <c r="I254" s="1"/>
      <c r="J254" s="1"/>
      <c r="K254" s="1"/>
      <c r="L254" s="1"/>
      <c r="M254" s="1"/>
      <c r="N254" s="1">
        <v>1</v>
      </c>
      <c r="O254" s="1">
        <v>1</v>
      </c>
    </row>
    <row r="255" spans="1:15" x14ac:dyDescent="0.3">
      <c r="A255" s="1" t="s">
        <v>283</v>
      </c>
      <c r="B255" s="1" t="s">
        <v>29</v>
      </c>
      <c r="C255" s="2">
        <v>44013</v>
      </c>
      <c r="D255" s="1" t="s">
        <v>424</v>
      </c>
      <c r="E255" s="1" t="s">
        <v>366</v>
      </c>
      <c r="F255" s="2"/>
      <c r="G255" s="1"/>
      <c r="H255" s="1"/>
      <c r="I255" s="1"/>
      <c r="J255" s="1"/>
      <c r="K255" s="1"/>
      <c r="L255" s="1"/>
      <c r="M255" s="1"/>
      <c r="N255" s="1">
        <v>1</v>
      </c>
      <c r="O255" s="1">
        <v>1</v>
      </c>
    </row>
    <row r="256" spans="1:15" x14ac:dyDescent="0.3">
      <c r="A256" s="1" t="s">
        <v>284</v>
      </c>
      <c r="B256" s="1" t="s">
        <v>29</v>
      </c>
      <c r="C256" s="2">
        <v>44013</v>
      </c>
      <c r="D256" s="1" t="s">
        <v>424</v>
      </c>
      <c r="E256" s="1" t="s">
        <v>366</v>
      </c>
      <c r="F256" s="2"/>
      <c r="G256" s="1"/>
      <c r="H256" s="1"/>
      <c r="I256" s="1"/>
      <c r="J256" s="1"/>
      <c r="K256" s="1"/>
      <c r="L256" s="1"/>
      <c r="M256" s="1"/>
      <c r="N256" s="1">
        <v>1</v>
      </c>
      <c r="O256" s="1">
        <v>1</v>
      </c>
    </row>
    <row r="257" spans="1:15" x14ac:dyDescent="0.3">
      <c r="A257" s="1" t="s">
        <v>285</v>
      </c>
      <c r="B257" s="1" t="s">
        <v>29</v>
      </c>
      <c r="C257" s="2">
        <v>44013</v>
      </c>
      <c r="D257" s="1" t="s">
        <v>424</v>
      </c>
      <c r="E257" s="1" t="s">
        <v>366</v>
      </c>
      <c r="F257" s="2"/>
      <c r="G257" s="1"/>
      <c r="H257" s="1"/>
      <c r="I257" s="1"/>
      <c r="J257" s="1"/>
      <c r="K257" s="1"/>
      <c r="L257" s="1"/>
      <c r="M257" s="1"/>
      <c r="N257" s="1">
        <v>1</v>
      </c>
      <c r="O257" s="1">
        <v>1</v>
      </c>
    </row>
    <row r="258" spans="1:15" x14ac:dyDescent="0.3">
      <c r="A258" s="1" t="s">
        <v>286</v>
      </c>
      <c r="B258" s="1" t="s">
        <v>29</v>
      </c>
      <c r="C258" s="2">
        <v>44013</v>
      </c>
      <c r="D258" s="1" t="s">
        <v>424</v>
      </c>
      <c r="E258" s="1" t="s">
        <v>366</v>
      </c>
      <c r="F258" s="2"/>
      <c r="G258" s="1"/>
      <c r="H258" s="1"/>
      <c r="I258" s="1"/>
      <c r="J258" s="1"/>
      <c r="K258" s="1"/>
      <c r="L258" s="1"/>
      <c r="M258" s="1"/>
      <c r="N258" s="1">
        <v>1</v>
      </c>
      <c r="O258" s="1">
        <v>1</v>
      </c>
    </row>
    <row r="259" spans="1:15" x14ac:dyDescent="0.3">
      <c r="A259" s="1" t="s">
        <v>287</v>
      </c>
      <c r="B259" s="1" t="s">
        <v>29</v>
      </c>
      <c r="C259" s="2">
        <v>44013</v>
      </c>
      <c r="D259" s="1" t="s">
        <v>424</v>
      </c>
      <c r="E259" s="1" t="s">
        <v>366</v>
      </c>
      <c r="F259" s="2"/>
      <c r="G259" s="1"/>
      <c r="H259" s="1"/>
      <c r="I259" s="1"/>
      <c r="J259" s="1"/>
      <c r="K259" s="1"/>
      <c r="L259" s="1"/>
      <c r="M259" s="1"/>
      <c r="N259" s="1">
        <v>1</v>
      </c>
      <c r="O259" s="1">
        <v>1</v>
      </c>
    </row>
    <row r="260" spans="1:15" x14ac:dyDescent="0.3">
      <c r="A260" s="1" t="s">
        <v>288</v>
      </c>
      <c r="B260" s="1" t="s">
        <v>29</v>
      </c>
      <c r="C260" s="2">
        <v>44013</v>
      </c>
      <c r="D260" s="1" t="s">
        <v>424</v>
      </c>
      <c r="E260" s="1" t="s">
        <v>366</v>
      </c>
      <c r="F260" s="2"/>
      <c r="G260" s="1"/>
      <c r="H260" s="1"/>
      <c r="I260" s="1"/>
      <c r="J260" s="1"/>
      <c r="K260" s="1"/>
      <c r="L260" s="1"/>
      <c r="M260" s="1"/>
      <c r="N260" s="1">
        <v>1</v>
      </c>
      <c r="O260" s="1">
        <v>1</v>
      </c>
    </row>
    <row r="261" spans="1:15" x14ac:dyDescent="0.3">
      <c r="A261" s="1" t="s">
        <v>289</v>
      </c>
      <c r="B261" s="1" t="s">
        <v>29</v>
      </c>
      <c r="C261" s="2">
        <v>44013</v>
      </c>
      <c r="D261" s="1" t="s">
        <v>424</v>
      </c>
      <c r="E261" s="1" t="s">
        <v>366</v>
      </c>
      <c r="F261" s="2"/>
      <c r="G261" s="1"/>
      <c r="H261" s="1"/>
      <c r="I261" s="1"/>
      <c r="J261" s="1"/>
      <c r="K261" s="1"/>
      <c r="L261" s="1"/>
      <c r="M261" s="1"/>
      <c r="N261" s="1">
        <v>1</v>
      </c>
      <c r="O261" s="1">
        <v>1</v>
      </c>
    </row>
    <row r="262" spans="1:15" x14ac:dyDescent="0.3">
      <c r="A262" s="1" t="s">
        <v>290</v>
      </c>
      <c r="B262" s="1" t="s">
        <v>29</v>
      </c>
      <c r="C262" s="2">
        <v>44044</v>
      </c>
      <c r="D262" s="1" t="s">
        <v>424</v>
      </c>
      <c r="E262" s="1" t="s">
        <v>366</v>
      </c>
      <c r="F262" s="2"/>
      <c r="G262" s="1"/>
      <c r="H262" s="1"/>
      <c r="I262" s="1"/>
      <c r="J262" s="1"/>
      <c r="K262" s="1"/>
      <c r="L262" s="1"/>
      <c r="M262" s="1"/>
      <c r="N262" s="1">
        <v>1</v>
      </c>
      <c r="O262" s="1">
        <v>1</v>
      </c>
    </row>
    <row r="263" spans="1:15" x14ac:dyDescent="0.3">
      <c r="A263" s="1" t="s">
        <v>291</v>
      </c>
      <c r="B263" s="1" t="s">
        <v>31</v>
      </c>
      <c r="C263" s="2">
        <v>44044</v>
      </c>
      <c r="D263" s="1" t="s">
        <v>424</v>
      </c>
      <c r="E263" s="1" t="s">
        <v>366</v>
      </c>
      <c r="F263" s="2">
        <v>44136</v>
      </c>
      <c r="G263" s="1" t="s">
        <v>367</v>
      </c>
      <c r="H263" s="1"/>
      <c r="I263" s="1"/>
      <c r="J263" s="1"/>
      <c r="K263" s="1"/>
      <c r="L263" s="1"/>
      <c r="M263" s="1"/>
      <c r="N263" s="1">
        <v>1</v>
      </c>
      <c r="O263" s="1"/>
    </row>
    <row r="264" spans="1:15" x14ac:dyDescent="0.3">
      <c r="A264" s="1" t="s">
        <v>292</v>
      </c>
      <c r="B264" s="1" t="s">
        <v>29</v>
      </c>
      <c r="C264" s="2">
        <v>44044</v>
      </c>
      <c r="D264" s="1" t="s">
        <v>424</v>
      </c>
      <c r="E264" s="1" t="s">
        <v>366</v>
      </c>
      <c r="F264" s="2"/>
      <c r="G264" s="1"/>
      <c r="H264" s="1"/>
      <c r="I264" s="1"/>
      <c r="J264" s="1"/>
      <c r="K264" s="1"/>
      <c r="L264" s="1"/>
      <c r="M264" s="1"/>
      <c r="N264" s="1">
        <v>1</v>
      </c>
      <c r="O264" s="1">
        <v>1</v>
      </c>
    </row>
    <row r="265" spans="1:15" x14ac:dyDescent="0.3">
      <c r="A265" s="1" t="s">
        <v>293</v>
      </c>
      <c r="B265" s="1" t="s">
        <v>31</v>
      </c>
      <c r="C265" s="2">
        <v>44044</v>
      </c>
      <c r="D265" s="1" t="s">
        <v>424</v>
      </c>
      <c r="E265" s="1" t="s">
        <v>366</v>
      </c>
      <c r="F265" s="2">
        <v>44166</v>
      </c>
      <c r="G265" s="1" t="s">
        <v>367</v>
      </c>
      <c r="H265" s="1"/>
      <c r="I265" s="1"/>
      <c r="J265" s="1"/>
      <c r="K265" s="1"/>
      <c r="L265" s="1"/>
      <c r="M265" s="1"/>
      <c r="N265" s="1">
        <v>1</v>
      </c>
      <c r="O265" s="1"/>
    </row>
    <row r="266" spans="1:15" x14ac:dyDescent="0.3">
      <c r="A266" s="1" t="s">
        <v>294</v>
      </c>
      <c r="B266" s="1" t="s">
        <v>29</v>
      </c>
      <c r="C266" s="2">
        <v>44044</v>
      </c>
      <c r="D266" s="1" t="s">
        <v>424</v>
      </c>
      <c r="E266" s="1" t="s">
        <v>366</v>
      </c>
      <c r="F266" s="2"/>
      <c r="G266" s="1"/>
      <c r="H266" s="1"/>
      <c r="I266" s="1"/>
      <c r="J266" s="1"/>
      <c r="K266" s="1"/>
      <c r="L266" s="1"/>
      <c r="M266" s="1"/>
      <c r="N266" s="1">
        <v>1</v>
      </c>
      <c r="O266" s="1">
        <v>1</v>
      </c>
    </row>
    <row r="267" spans="1:15" x14ac:dyDescent="0.3">
      <c r="A267" s="1" t="s">
        <v>295</v>
      </c>
      <c r="B267" s="1" t="s">
        <v>31</v>
      </c>
      <c r="C267" s="2">
        <v>44044</v>
      </c>
      <c r="D267" s="1" t="s">
        <v>424</v>
      </c>
      <c r="E267" s="1" t="s">
        <v>366</v>
      </c>
      <c r="F267" s="2">
        <v>44166</v>
      </c>
      <c r="G267" s="1" t="s">
        <v>367</v>
      </c>
      <c r="H267" s="1"/>
      <c r="I267" s="1"/>
      <c r="J267" s="1"/>
      <c r="K267" s="1"/>
      <c r="L267" s="1"/>
      <c r="M267" s="1"/>
      <c r="N267" s="1">
        <v>1</v>
      </c>
      <c r="O267" s="1"/>
    </row>
    <row r="268" spans="1:15" x14ac:dyDescent="0.3">
      <c r="A268" s="1" t="s">
        <v>296</v>
      </c>
      <c r="B268" s="1" t="s">
        <v>29</v>
      </c>
      <c r="C268" s="2">
        <v>44044</v>
      </c>
      <c r="D268" s="1" t="s">
        <v>424</v>
      </c>
      <c r="E268" s="1" t="s">
        <v>366</v>
      </c>
      <c r="F268" s="2"/>
      <c r="G268" s="1"/>
      <c r="H268" s="1"/>
      <c r="I268" s="1"/>
      <c r="J268" s="1"/>
      <c r="K268" s="1"/>
      <c r="L268" s="1"/>
      <c r="M268" s="1"/>
      <c r="N268" s="1">
        <v>1</v>
      </c>
      <c r="O268" s="1">
        <v>1</v>
      </c>
    </row>
    <row r="269" spans="1:15" x14ac:dyDescent="0.3">
      <c r="A269" s="1" t="s">
        <v>297</v>
      </c>
      <c r="B269" s="1" t="s">
        <v>29</v>
      </c>
      <c r="C269" s="2">
        <v>44044</v>
      </c>
      <c r="D269" s="1" t="s">
        <v>424</v>
      </c>
      <c r="E269" s="1" t="s">
        <v>366</v>
      </c>
      <c r="F269" s="2"/>
      <c r="G269" s="1"/>
      <c r="H269" s="1"/>
      <c r="I269" s="1"/>
      <c r="J269" s="1"/>
      <c r="K269" s="1"/>
      <c r="L269" s="1"/>
      <c r="M269" s="1"/>
      <c r="N269" s="1">
        <v>1</v>
      </c>
      <c r="O269" s="1">
        <v>1</v>
      </c>
    </row>
    <row r="270" spans="1:15" x14ac:dyDescent="0.3">
      <c r="A270" s="1" t="s">
        <v>298</v>
      </c>
      <c r="B270" s="1" t="s">
        <v>31</v>
      </c>
      <c r="C270" s="2">
        <v>44044</v>
      </c>
      <c r="D270" s="1" t="s">
        <v>424</v>
      </c>
      <c r="E270" s="1" t="s">
        <v>366</v>
      </c>
      <c r="F270" s="2">
        <v>44136</v>
      </c>
      <c r="G270" s="1" t="s">
        <v>367</v>
      </c>
      <c r="H270" s="1"/>
      <c r="I270" s="1"/>
      <c r="J270" s="1"/>
      <c r="K270" s="1"/>
      <c r="L270" s="1"/>
      <c r="M270" s="1"/>
      <c r="N270" s="1">
        <v>1</v>
      </c>
      <c r="O270" s="1"/>
    </row>
    <row r="271" spans="1:15" x14ac:dyDescent="0.3">
      <c r="A271" s="1" t="s">
        <v>299</v>
      </c>
      <c r="B271" s="1" t="s">
        <v>29</v>
      </c>
      <c r="C271" s="2">
        <v>44044</v>
      </c>
      <c r="D271" s="1" t="s">
        <v>424</v>
      </c>
      <c r="E271" s="1" t="s">
        <v>366</v>
      </c>
      <c r="F271" s="2"/>
      <c r="G271" s="1"/>
      <c r="H271" s="1"/>
      <c r="I271" s="1"/>
      <c r="J271" s="1"/>
      <c r="K271" s="1"/>
      <c r="L271" s="1"/>
      <c r="M271" s="1"/>
      <c r="N271" s="1">
        <v>1</v>
      </c>
      <c r="O271" s="1">
        <v>1</v>
      </c>
    </row>
    <row r="272" spans="1:15" x14ac:dyDescent="0.3">
      <c r="A272" s="1" t="s">
        <v>300</v>
      </c>
      <c r="B272" s="1" t="s">
        <v>29</v>
      </c>
      <c r="C272" s="2">
        <v>44044</v>
      </c>
      <c r="D272" s="1" t="s">
        <v>425</v>
      </c>
      <c r="E272" s="1" t="s">
        <v>366</v>
      </c>
      <c r="F272" s="2">
        <v>44105</v>
      </c>
      <c r="G272" s="1" t="s">
        <v>367</v>
      </c>
      <c r="H272" s="1"/>
      <c r="I272" s="1"/>
      <c r="J272" s="1"/>
      <c r="K272" s="1"/>
      <c r="L272" s="1"/>
      <c r="M272" s="1"/>
      <c r="N272" s="1">
        <v>1</v>
      </c>
      <c r="O272" s="1">
        <v>1</v>
      </c>
    </row>
    <row r="273" spans="1:15" x14ac:dyDescent="0.3">
      <c r="A273" s="1" t="s">
        <v>301</v>
      </c>
      <c r="B273" s="1" t="s">
        <v>29</v>
      </c>
      <c r="C273" s="2">
        <v>44044</v>
      </c>
      <c r="D273" s="1" t="s">
        <v>424</v>
      </c>
      <c r="E273" s="1" t="s">
        <v>366</v>
      </c>
      <c r="F273" s="2"/>
      <c r="G273" s="1"/>
      <c r="H273" s="1"/>
      <c r="I273" s="1"/>
      <c r="J273" s="1"/>
      <c r="K273" s="1"/>
      <c r="L273" s="1"/>
      <c r="M273" s="1"/>
      <c r="N273" s="1">
        <v>1</v>
      </c>
      <c r="O273" s="1">
        <v>1</v>
      </c>
    </row>
    <row r="274" spans="1:15" x14ac:dyDescent="0.3">
      <c r="A274" s="1" t="s">
        <v>302</v>
      </c>
      <c r="B274" s="1" t="s">
        <v>29</v>
      </c>
      <c r="C274" s="2">
        <v>44044</v>
      </c>
      <c r="D274" s="1" t="s">
        <v>424</v>
      </c>
      <c r="E274" s="1" t="s">
        <v>366</v>
      </c>
      <c r="F274" s="2"/>
      <c r="G274" s="1"/>
      <c r="H274" s="1"/>
      <c r="I274" s="1"/>
      <c r="J274" s="1"/>
      <c r="K274" s="1"/>
      <c r="L274" s="1"/>
      <c r="M274" s="1"/>
      <c r="N274" s="1">
        <v>1</v>
      </c>
      <c r="O274" s="1">
        <v>1</v>
      </c>
    </row>
    <row r="275" spans="1:15" x14ac:dyDescent="0.3">
      <c r="A275" s="1" t="s">
        <v>303</v>
      </c>
      <c r="B275" s="1" t="s">
        <v>29</v>
      </c>
      <c r="C275" s="2">
        <v>44044</v>
      </c>
      <c r="D275" s="1" t="s">
        <v>424</v>
      </c>
      <c r="E275" s="1" t="s">
        <v>366</v>
      </c>
      <c r="F275" s="2"/>
      <c r="G275" s="1"/>
      <c r="H275" s="1"/>
      <c r="I275" s="1"/>
      <c r="J275" s="1"/>
      <c r="K275" s="1"/>
      <c r="L275" s="1"/>
      <c r="M275" s="1"/>
      <c r="N275" s="1">
        <v>1</v>
      </c>
      <c r="O275" s="1">
        <v>1</v>
      </c>
    </row>
    <row r="276" spans="1:15" x14ac:dyDescent="0.3">
      <c r="A276" s="1" t="s">
        <v>304</v>
      </c>
      <c r="B276" s="1" t="s">
        <v>29</v>
      </c>
      <c r="C276" s="2">
        <v>44044</v>
      </c>
      <c r="D276" s="1" t="s">
        <v>424</v>
      </c>
      <c r="E276" s="1" t="s">
        <v>366</v>
      </c>
      <c r="F276" s="2"/>
      <c r="G276" s="1"/>
      <c r="H276" s="1"/>
      <c r="I276" s="1"/>
      <c r="J276" s="1"/>
      <c r="K276" s="1"/>
      <c r="L276" s="1"/>
      <c r="M276" s="1"/>
      <c r="N276" s="1">
        <v>1</v>
      </c>
      <c r="O276" s="1">
        <v>1</v>
      </c>
    </row>
    <row r="277" spans="1:15" x14ac:dyDescent="0.3">
      <c r="A277" s="1" t="s">
        <v>305</v>
      </c>
      <c r="B277" s="1" t="s">
        <v>31</v>
      </c>
      <c r="C277" s="2">
        <v>44044</v>
      </c>
      <c r="D277" s="1" t="s">
        <v>424</v>
      </c>
      <c r="E277" s="1" t="s">
        <v>366</v>
      </c>
      <c r="F277" s="2">
        <v>44166</v>
      </c>
      <c r="G277" s="1" t="s">
        <v>367</v>
      </c>
      <c r="H277" s="1"/>
      <c r="I277" s="1"/>
      <c r="J277" s="1"/>
      <c r="K277" s="1"/>
      <c r="L277" s="1"/>
      <c r="M277" s="1"/>
      <c r="N277" s="1">
        <v>1</v>
      </c>
      <c r="O277" s="1"/>
    </row>
    <row r="278" spans="1:15" x14ac:dyDescent="0.3">
      <c r="A278" s="1" t="s">
        <v>306</v>
      </c>
      <c r="B278" s="1" t="s">
        <v>29</v>
      </c>
      <c r="C278" s="2">
        <v>44044</v>
      </c>
      <c r="D278" s="1" t="s">
        <v>424</v>
      </c>
      <c r="E278" s="1" t="s">
        <v>366</v>
      </c>
      <c r="F278" s="2"/>
      <c r="G278" s="1"/>
      <c r="H278" s="1"/>
      <c r="I278" s="1"/>
      <c r="J278" s="1"/>
      <c r="K278" s="1"/>
      <c r="L278" s="1"/>
      <c r="M278" s="1"/>
      <c r="N278" s="1">
        <v>1</v>
      </c>
      <c r="O278" s="1">
        <v>1</v>
      </c>
    </row>
    <row r="279" spans="1:15" x14ac:dyDescent="0.3">
      <c r="A279" s="1" t="s">
        <v>307</v>
      </c>
      <c r="B279" s="1" t="s">
        <v>29</v>
      </c>
      <c r="C279" s="2">
        <v>44044</v>
      </c>
      <c r="D279" s="1" t="s">
        <v>424</v>
      </c>
      <c r="E279" s="1" t="s">
        <v>366</v>
      </c>
      <c r="F279" s="2"/>
      <c r="G279" s="1"/>
      <c r="H279" s="1"/>
      <c r="I279" s="1"/>
      <c r="J279" s="1"/>
      <c r="K279" s="1"/>
      <c r="L279" s="1"/>
      <c r="M279" s="1"/>
      <c r="N279" s="1">
        <v>1</v>
      </c>
      <c r="O279" s="1">
        <v>1</v>
      </c>
    </row>
    <row r="280" spans="1:15" x14ac:dyDescent="0.3">
      <c r="A280" s="1" t="s">
        <v>308</v>
      </c>
      <c r="B280" s="1" t="s">
        <v>29</v>
      </c>
      <c r="C280" s="2">
        <v>44044</v>
      </c>
      <c r="D280" s="1" t="s">
        <v>424</v>
      </c>
      <c r="E280" s="1" t="s">
        <v>366</v>
      </c>
      <c r="F280" s="2"/>
      <c r="G280" s="1"/>
      <c r="H280" s="1"/>
      <c r="I280" s="1"/>
      <c r="J280" s="1"/>
      <c r="K280" s="1"/>
      <c r="L280" s="1"/>
      <c r="M280" s="1"/>
      <c r="N280" s="1">
        <v>1</v>
      </c>
      <c r="O280" s="1">
        <v>1</v>
      </c>
    </row>
    <row r="281" spans="1:15" x14ac:dyDescent="0.3">
      <c r="A281" s="1" t="s">
        <v>309</v>
      </c>
      <c r="B281" s="1" t="s">
        <v>29</v>
      </c>
      <c r="C281" s="2">
        <v>44044</v>
      </c>
      <c r="D281" s="1" t="s">
        <v>424</v>
      </c>
      <c r="E281" s="1" t="s">
        <v>366</v>
      </c>
      <c r="F281" s="2"/>
      <c r="G281" s="1"/>
      <c r="H281" s="1"/>
      <c r="I281" s="1"/>
      <c r="J281" s="1"/>
      <c r="K281" s="1"/>
      <c r="L281" s="1"/>
      <c r="M281" s="1"/>
      <c r="N281" s="1">
        <v>1</v>
      </c>
      <c r="O281" s="1">
        <v>1</v>
      </c>
    </row>
    <row r="282" spans="1:15" x14ac:dyDescent="0.3">
      <c r="A282" s="1" t="s">
        <v>310</v>
      </c>
      <c r="B282" s="1" t="s">
        <v>29</v>
      </c>
      <c r="C282" s="2">
        <v>44044</v>
      </c>
      <c r="D282" s="1" t="s">
        <v>424</v>
      </c>
      <c r="E282" s="1" t="s">
        <v>366</v>
      </c>
      <c r="F282" s="2"/>
      <c r="G282" s="1"/>
      <c r="H282" s="1"/>
      <c r="I282" s="1"/>
      <c r="J282" s="1"/>
      <c r="K282" s="1"/>
      <c r="L282" s="1"/>
      <c r="M282" s="1"/>
      <c r="N282" s="1">
        <v>1</v>
      </c>
      <c r="O282" s="1">
        <v>1</v>
      </c>
    </row>
    <row r="283" spans="1:15" x14ac:dyDescent="0.3">
      <c r="A283" s="1" t="s">
        <v>311</v>
      </c>
      <c r="B283" s="1" t="s">
        <v>29</v>
      </c>
      <c r="C283" s="2">
        <v>44044</v>
      </c>
      <c r="D283" s="1" t="s">
        <v>424</v>
      </c>
      <c r="E283" s="1" t="s">
        <v>366</v>
      </c>
      <c r="F283" s="2"/>
      <c r="G283" s="1"/>
      <c r="H283" s="1"/>
      <c r="I283" s="1"/>
      <c r="J283" s="1"/>
      <c r="K283" s="1"/>
      <c r="L283" s="1"/>
      <c r="M283" s="1"/>
      <c r="N283" s="1">
        <v>1</v>
      </c>
      <c r="O283" s="1">
        <v>1</v>
      </c>
    </row>
    <row r="284" spans="1:15" x14ac:dyDescent="0.3">
      <c r="A284" s="1" t="s">
        <v>312</v>
      </c>
      <c r="B284" s="1" t="s">
        <v>29</v>
      </c>
      <c r="C284" s="2">
        <v>44044</v>
      </c>
      <c r="D284" s="1" t="s">
        <v>424</v>
      </c>
      <c r="E284" s="1" t="s">
        <v>366</v>
      </c>
      <c r="F284" s="2"/>
      <c r="G284" s="1"/>
      <c r="H284" s="1"/>
      <c r="I284" s="1"/>
      <c r="J284" s="1"/>
      <c r="K284" s="1"/>
      <c r="L284" s="1"/>
      <c r="M284" s="1"/>
      <c r="N284" s="1">
        <v>1</v>
      </c>
      <c r="O284" s="1">
        <v>1</v>
      </c>
    </row>
    <row r="285" spans="1:15" x14ac:dyDescent="0.3">
      <c r="A285" s="1" t="s">
        <v>313</v>
      </c>
      <c r="B285" s="1" t="s">
        <v>29</v>
      </c>
      <c r="C285" s="2">
        <v>44044</v>
      </c>
      <c r="D285" s="1" t="s">
        <v>424</v>
      </c>
      <c r="E285" s="1" t="s">
        <v>366</v>
      </c>
      <c r="F285" s="2"/>
      <c r="G285" s="1"/>
      <c r="H285" s="1"/>
      <c r="I285" s="1"/>
      <c r="J285" s="1"/>
      <c r="K285" s="1"/>
      <c r="L285" s="1"/>
      <c r="M285" s="1"/>
      <c r="N285" s="1">
        <v>1</v>
      </c>
      <c r="O285" s="1">
        <v>1</v>
      </c>
    </row>
    <row r="286" spans="1:15" x14ac:dyDescent="0.3">
      <c r="A286" s="1" t="s">
        <v>314</v>
      </c>
      <c r="B286" s="1" t="s">
        <v>29</v>
      </c>
      <c r="C286" s="2">
        <v>44044</v>
      </c>
      <c r="D286" s="1" t="s">
        <v>424</v>
      </c>
      <c r="E286" s="1" t="s">
        <v>366</v>
      </c>
      <c r="F286" s="2"/>
      <c r="G286" s="1"/>
      <c r="H286" s="1"/>
      <c r="I286" s="1"/>
      <c r="J286" s="1"/>
      <c r="K286" s="1"/>
      <c r="L286" s="1"/>
      <c r="M286" s="1"/>
      <c r="N286" s="1">
        <v>1</v>
      </c>
      <c r="O286" s="1">
        <v>1</v>
      </c>
    </row>
    <row r="287" spans="1:15" x14ac:dyDescent="0.3">
      <c r="A287" s="1" t="s">
        <v>315</v>
      </c>
      <c r="B287" s="1" t="s">
        <v>29</v>
      </c>
      <c r="C287" s="2">
        <v>44044</v>
      </c>
      <c r="D287" s="1" t="s">
        <v>424</v>
      </c>
      <c r="E287" s="1" t="s">
        <v>366</v>
      </c>
      <c r="F287" s="2"/>
      <c r="G287" s="1"/>
      <c r="H287" s="1"/>
      <c r="I287" s="1"/>
      <c r="J287" s="1"/>
      <c r="K287" s="1"/>
      <c r="L287" s="1"/>
      <c r="M287" s="1"/>
      <c r="N287" s="1">
        <v>1</v>
      </c>
      <c r="O287" s="1">
        <v>1</v>
      </c>
    </row>
    <row r="288" spans="1:15" x14ac:dyDescent="0.3">
      <c r="A288" s="1" t="s">
        <v>316</v>
      </c>
      <c r="B288" s="1" t="s">
        <v>29</v>
      </c>
      <c r="C288" s="2">
        <v>44044</v>
      </c>
      <c r="D288" s="1" t="s">
        <v>424</v>
      </c>
      <c r="E288" s="1" t="s">
        <v>366</v>
      </c>
      <c r="F288" s="2"/>
      <c r="G288" s="1"/>
      <c r="H288" s="1"/>
      <c r="I288" s="1"/>
      <c r="J288" s="1"/>
      <c r="K288" s="1"/>
      <c r="L288" s="1"/>
      <c r="M288" s="1"/>
      <c r="N288" s="1">
        <v>1</v>
      </c>
      <c r="O288" s="1">
        <v>1</v>
      </c>
    </row>
    <row r="289" spans="1:15" x14ac:dyDescent="0.3">
      <c r="A289" s="1" t="s">
        <v>317</v>
      </c>
      <c r="B289" s="1" t="s">
        <v>29</v>
      </c>
      <c r="C289" s="2">
        <v>44075</v>
      </c>
      <c r="D289" s="1" t="s">
        <v>424</v>
      </c>
      <c r="E289" s="1" t="s">
        <v>366</v>
      </c>
      <c r="F289" s="2"/>
      <c r="G289" s="1"/>
      <c r="H289" s="1"/>
      <c r="I289" s="1"/>
      <c r="J289" s="1"/>
      <c r="K289" s="1"/>
      <c r="L289" s="1"/>
      <c r="M289" s="1"/>
      <c r="N289" s="1">
        <v>1</v>
      </c>
      <c r="O289" s="1">
        <v>1</v>
      </c>
    </row>
    <row r="290" spans="1:15" x14ac:dyDescent="0.3">
      <c r="A290" s="1" t="s">
        <v>318</v>
      </c>
      <c r="B290" s="1" t="s">
        <v>29</v>
      </c>
      <c r="C290" s="2">
        <v>44075</v>
      </c>
      <c r="D290" s="1" t="s">
        <v>424</v>
      </c>
      <c r="E290" s="1" t="s">
        <v>366</v>
      </c>
      <c r="F290" s="2"/>
      <c r="G290" s="1"/>
      <c r="H290" s="1"/>
      <c r="I290" s="1"/>
      <c r="J290" s="1"/>
      <c r="K290" s="1"/>
      <c r="L290" s="1"/>
      <c r="M290" s="1"/>
      <c r="N290" s="1">
        <v>1</v>
      </c>
      <c r="O290" s="1">
        <v>1</v>
      </c>
    </row>
    <row r="291" spans="1:15" x14ac:dyDescent="0.3">
      <c r="A291" s="1" t="s">
        <v>319</v>
      </c>
      <c r="B291" s="1" t="s">
        <v>29</v>
      </c>
      <c r="C291" s="2">
        <v>44075</v>
      </c>
      <c r="D291" s="1" t="s">
        <v>424</v>
      </c>
      <c r="E291" s="1" t="s">
        <v>366</v>
      </c>
      <c r="F291" s="2"/>
      <c r="G291" s="1"/>
      <c r="H291" s="1"/>
      <c r="I291" s="1"/>
      <c r="J291" s="1"/>
      <c r="K291" s="1"/>
      <c r="L291" s="1"/>
      <c r="M291" s="1"/>
      <c r="N291" s="1">
        <v>1</v>
      </c>
      <c r="O291" s="1">
        <v>1</v>
      </c>
    </row>
    <row r="292" spans="1:15" x14ac:dyDescent="0.3">
      <c r="A292" s="1" t="s">
        <v>320</v>
      </c>
      <c r="B292" s="1" t="s">
        <v>29</v>
      </c>
      <c r="C292" s="2">
        <v>44075</v>
      </c>
      <c r="D292" s="1" t="s">
        <v>424</v>
      </c>
      <c r="E292" s="1" t="s">
        <v>366</v>
      </c>
      <c r="F292" s="2"/>
      <c r="G292" s="1"/>
      <c r="H292" s="1"/>
      <c r="I292" s="1"/>
      <c r="J292" s="1"/>
      <c r="K292" s="1"/>
      <c r="L292" s="1"/>
      <c r="M292" s="1"/>
      <c r="N292" s="1">
        <v>1</v>
      </c>
      <c r="O292" s="1">
        <v>1</v>
      </c>
    </row>
    <row r="293" spans="1:15" x14ac:dyDescent="0.3">
      <c r="A293" s="1" t="s">
        <v>321</v>
      </c>
      <c r="B293" s="1" t="s">
        <v>29</v>
      </c>
      <c r="C293" s="2">
        <v>44075</v>
      </c>
      <c r="D293" s="1" t="s">
        <v>424</v>
      </c>
      <c r="E293" s="1" t="s">
        <v>366</v>
      </c>
      <c r="F293" s="2"/>
      <c r="G293" s="1"/>
      <c r="H293" s="1"/>
      <c r="I293" s="1"/>
      <c r="J293" s="1"/>
      <c r="K293" s="1"/>
      <c r="L293" s="1"/>
      <c r="M293" s="1"/>
      <c r="N293" s="1">
        <v>1</v>
      </c>
      <c r="O293" s="1">
        <v>1</v>
      </c>
    </row>
    <row r="294" spans="1:15" x14ac:dyDescent="0.3">
      <c r="A294" s="1" t="s">
        <v>322</v>
      </c>
      <c r="B294" s="1" t="s">
        <v>29</v>
      </c>
      <c r="C294" s="2">
        <v>44105</v>
      </c>
      <c r="D294" s="1" t="s">
        <v>424</v>
      </c>
      <c r="E294" s="1" t="s">
        <v>367</v>
      </c>
      <c r="F294" s="2"/>
      <c r="G294" s="1"/>
      <c r="H294" s="1"/>
      <c r="I294" s="1"/>
      <c r="J294" s="1"/>
      <c r="K294" s="1"/>
      <c r="L294" s="1"/>
      <c r="M294" s="1"/>
      <c r="N294" s="1"/>
      <c r="O294" s="1">
        <v>1</v>
      </c>
    </row>
    <row r="295" spans="1:15" x14ac:dyDescent="0.3">
      <c r="A295" s="1" t="s">
        <v>323</v>
      </c>
      <c r="B295" s="1" t="s">
        <v>29</v>
      </c>
      <c r="C295" s="2">
        <v>44105</v>
      </c>
      <c r="D295" s="1" t="s">
        <v>424</v>
      </c>
      <c r="E295" s="1" t="s">
        <v>367</v>
      </c>
      <c r="F295" s="2"/>
      <c r="G295" s="1"/>
      <c r="H295" s="1"/>
      <c r="I295" s="1"/>
      <c r="J295" s="1"/>
      <c r="K295" s="1"/>
      <c r="L295" s="1"/>
      <c r="M295" s="1"/>
      <c r="N295" s="1"/>
      <c r="O295" s="1">
        <v>1</v>
      </c>
    </row>
    <row r="296" spans="1:15" x14ac:dyDescent="0.3">
      <c r="A296" s="1" t="s">
        <v>324</v>
      </c>
      <c r="B296" s="1" t="s">
        <v>29</v>
      </c>
      <c r="C296" s="2">
        <v>44105</v>
      </c>
      <c r="D296" s="1" t="s">
        <v>424</v>
      </c>
      <c r="E296" s="1" t="s">
        <v>367</v>
      </c>
      <c r="F296" s="2"/>
      <c r="G296" s="1"/>
      <c r="H296" s="1"/>
      <c r="I296" s="1"/>
      <c r="J296" s="1"/>
      <c r="K296" s="1"/>
      <c r="L296" s="1"/>
      <c r="M296" s="1"/>
      <c r="N296" s="1"/>
      <c r="O296" s="1">
        <v>1</v>
      </c>
    </row>
    <row r="297" spans="1:15" x14ac:dyDescent="0.3">
      <c r="A297" s="1" t="s">
        <v>325</v>
      </c>
      <c r="B297" s="1" t="s">
        <v>29</v>
      </c>
      <c r="C297" s="2">
        <v>44105</v>
      </c>
      <c r="D297" s="1" t="s">
        <v>424</v>
      </c>
      <c r="E297" s="1" t="s">
        <v>367</v>
      </c>
      <c r="F297" s="2"/>
      <c r="G297" s="1"/>
      <c r="H297" s="1"/>
      <c r="I297" s="1"/>
      <c r="J297" s="1"/>
      <c r="K297" s="1"/>
      <c r="L297" s="1"/>
      <c r="M297" s="1"/>
      <c r="N297" s="1"/>
      <c r="O297" s="1">
        <v>1</v>
      </c>
    </row>
    <row r="298" spans="1:15" x14ac:dyDescent="0.3">
      <c r="A298" s="1" t="s">
        <v>326</v>
      </c>
      <c r="B298" s="1" t="s">
        <v>29</v>
      </c>
      <c r="C298" s="2">
        <v>44105</v>
      </c>
      <c r="D298" s="1" t="s">
        <v>424</v>
      </c>
      <c r="E298" s="1" t="s">
        <v>367</v>
      </c>
      <c r="F298" s="2"/>
      <c r="G298" s="1"/>
      <c r="H298" s="1"/>
      <c r="I298" s="1"/>
      <c r="J298" s="1"/>
      <c r="K298" s="1"/>
      <c r="L298" s="1"/>
      <c r="M298" s="1"/>
      <c r="N298" s="1"/>
      <c r="O298" s="1">
        <v>1</v>
      </c>
    </row>
    <row r="299" spans="1:15" x14ac:dyDescent="0.3">
      <c r="A299" s="1" t="s">
        <v>327</v>
      </c>
      <c r="B299" s="1" t="s">
        <v>29</v>
      </c>
      <c r="C299" s="2">
        <v>44105</v>
      </c>
      <c r="D299" s="1" t="s">
        <v>424</v>
      </c>
      <c r="E299" s="1" t="s">
        <v>367</v>
      </c>
      <c r="F299" s="2"/>
      <c r="G299" s="1"/>
      <c r="H299" s="1"/>
      <c r="I299" s="1"/>
      <c r="J299" s="1"/>
      <c r="K299" s="1"/>
      <c r="L299" s="1"/>
      <c r="M299" s="1"/>
      <c r="N299" s="1"/>
      <c r="O299" s="1">
        <v>1</v>
      </c>
    </row>
    <row r="300" spans="1:15" x14ac:dyDescent="0.3">
      <c r="A300" s="1" t="s">
        <v>328</v>
      </c>
      <c r="B300" s="1" t="s">
        <v>29</v>
      </c>
      <c r="C300" s="2">
        <v>44105</v>
      </c>
      <c r="D300" s="1" t="s">
        <v>424</v>
      </c>
      <c r="E300" s="1" t="s">
        <v>367</v>
      </c>
      <c r="F300" s="2"/>
      <c r="G300" s="1"/>
      <c r="H300" s="1"/>
      <c r="I300" s="1"/>
      <c r="J300" s="1"/>
      <c r="K300" s="1"/>
      <c r="L300" s="1"/>
      <c r="M300" s="1"/>
      <c r="N300" s="1"/>
      <c r="O300" s="1">
        <v>1</v>
      </c>
    </row>
    <row r="301" spans="1:15" x14ac:dyDescent="0.3">
      <c r="A301" s="1" t="s">
        <v>329</v>
      </c>
      <c r="B301" s="1" t="s">
        <v>29</v>
      </c>
      <c r="C301" s="2">
        <v>44105</v>
      </c>
      <c r="D301" s="1" t="s">
        <v>424</v>
      </c>
      <c r="E301" s="1" t="s">
        <v>367</v>
      </c>
      <c r="F301" s="2"/>
      <c r="G301" s="1"/>
      <c r="H301" s="1"/>
      <c r="I301" s="1"/>
      <c r="J301" s="1"/>
      <c r="K301" s="1"/>
      <c r="L301" s="1"/>
      <c r="M301" s="1"/>
      <c r="N301" s="1"/>
      <c r="O301" s="1">
        <v>1</v>
      </c>
    </row>
    <row r="302" spans="1:15" x14ac:dyDescent="0.3">
      <c r="A302" s="1" t="s">
        <v>330</v>
      </c>
      <c r="B302" s="1" t="s">
        <v>29</v>
      </c>
      <c r="C302" s="2">
        <v>44105</v>
      </c>
      <c r="D302" s="1" t="s">
        <v>424</v>
      </c>
      <c r="E302" s="1" t="s">
        <v>367</v>
      </c>
      <c r="F302" s="2"/>
      <c r="G302" s="1"/>
      <c r="H302" s="1"/>
      <c r="I302" s="1"/>
      <c r="J302" s="1"/>
      <c r="K302" s="1"/>
      <c r="L302" s="1"/>
      <c r="M302" s="1"/>
      <c r="N302" s="1"/>
      <c r="O302" s="1">
        <v>1</v>
      </c>
    </row>
    <row r="303" spans="1:15" x14ac:dyDescent="0.3">
      <c r="A303" s="1" t="s">
        <v>331</v>
      </c>
      <c r="B303" s="1" t="s">
        <v>29</v>
      </c>
      <c r="C303" s="2">
        <v>44105</v>
      </c>
      <c r="D303" s="1" t="s">
        <v>424</v>
      </c>
      <c r="E303" s="1" t="s">
        <v>367</v>
      </c>
      <c r="F303" s="2"/>
      <c r="G303" s="1"/>
      <c r="H303" s="1"/>
      <c r="I303" s="1"/>
      <c r="J303" s="1"/>
      <c r="K303" s="1"/>
      <c r="L303" s="1"/>
      <c r="M303" s="1"/>
      <c r="N303" s="1"/>
      <c r="O303" s="1">
        <v>1</v>
      </c>
    </row>
    <row r="304" spans="1:15" x14ac:dyDescent="0.3">
      <c r="A304" s="1" t="s">
        <v>332</v>
      </c>
      <c r="B304" s="1" t="s">
        <v>29</v>
      </c>
      <c r="C304" s="2">
        <v>44105</v>
      </c>
      <c r="D304" s="1" t="s">
        <v>424</v>
      </c>
      <c r="E304" s="1" t="s">
        <v>367</v>
      </c>
      <c r="F304" s="2"/>
      <c r="G304" s="1"/>
      <c r="H304" s="1"/>
      <c r="I304" s="1"/>
      <c r="J304" s="1"/>
      <c r="K304" s="1"/>
      <c r="L304" s="1"/>
      <c r="M304" s="1"/>
      <c r="N304" s="1"/>
      <c r="O304" s="1">
        <v>1</v>
      </c>
    </row>
    <row r="305" spans="1:15" x14ac:dyDescent="0.3">
      <c r="A305" s="1" t="s">
        <v>333</v>
      </c>
      <c r="B305" s="1" t="s">
        <v>29</v>
      </c>
      <c r="C305" s="2">
        <v>44105</v>
      </c>
      <c r="D305" s="1" t="s">
        <v>424</v>
      </c>
      <c r="E305" s="1" t="s">
        <v>367</v>
      </c>
      <c r="F305" s="2"/>
      <c r="G305" s="1"/>
      <c r="H305" s="1"/>
      <c r="I305" s="1"/>
      <c r="J305" s="1"/>
      <c r="K305" s="1"/>
      <c r="L305" s="1"/>
      <c r="M305" s="1"/>
      <c r="N305" s="1"/>
      <c r="O305" s="1">
        <v>1</v>
      </c>
    </row>
    <row r="306" spans="1:15" x14ac:dyDescent="0.3">
      <c r="A306" s="1" t="s">
        <v>334</v>
      </c>
      <c r="B306" s="1" t="s">
        <v>29</v>
      </c>
      <c r="C306" s="2">
        <v>44136</v>
      </c>
      <c r="D306" s="1" t="s">
        <v>424</v>
      </c>
      <c r="E306" s="1" t="s">
        <v>367</v>
      </c>
      <c r="F306" s="2"/>
      <c r="G306" s="1"/>
      <c r="H306" s="1"/>
      <c r="I306" s="1"/>
      <c r="J306" s="1"/>
      <c r="K306" s="1"/>
      <c r="L306" s="1"/>
      <c r="M306" s="1"/>
      <c r="N306" s="1"/>
      <c r="O306" s="1">
        <v>1</v>
      </c>
    </row>
    <row r="307" spans="1:15" x14ac:dyDescent="0.3">
      <c r="A307" s="1" t="s">
        <v>335</v>
      </c>
      <c r="B307" s="1" t="s">
        <v>29</v>
      </c>
      <c r="C307" s="2">
        <v>44136</v>
      </c>
      <c r="D307" s="1" t="s">
        <v>424</v>
      </c>
      <c r="E307" s="1" t="s">
        <v>367</v>
      </c>
      <c r="F307" s="2"/>
      <c r="G307" s="1"/>
      <c r="H307" s="1"/>
      <c r="I307" s="1"/>
      <c r="J307" s="1"/>
      <c r="K307" s="1"/>
      <c r="L307" s="1"/>
      <c r="M307" s="1"/>
      <c r="N307" s="1"/>
      <c r="O307" s="1">
        <v>1</v>
      </c>
    </row>
    <row r="308" spans="1:15" x14ac:dyDescent="0.3">
      <c r="A308" s="1" t="s">
        <v>336</v>
      </c>
      <c r="B308" s="1" t="s">
        <v>29</v>
      </c>
      <c r="C308" s="2">
        <v>44136</v>
      </c>
      <c r="D308" s="1" t="s">
        <v>424</v>
      </c>
      <c r="E308" s="1" t="s">
        <v>367</v>
      </c>
      <c r="F308" s="2"/>
      <c r="G308" s="1"/>
      <c r="H308" s="1"/>
      <c r="I308" s="1"/>
      <c r="J308" s="1"/>
      <c r="K308" s="1"/>
      <c r="L308" s="1"/>
      <c r="M308" s="1"/>
      <c r="N308" s="1"/>
      <c r="O308" s="1">
        <v>1</v>
      </c>
    </row>
    <row r="309" spans="1:15" x14ac:dyDescent="0.3">
      <c r="A309" s="1" t="s">
        <v>337</v>
      </c>
      <c r="B309" s="1" t="s">
        <v>29</v>
      </c>
      <c r="C309" s="2">
        <v>44136</v>
      </c>
      <c r="D309" s="1" t="s">
        <v>424</v>
      </c>
      <c r="E309" s="1" t="s">
        <v>367</v>
      </c>
      <c r="F309" s="2"/>
      <c r="G309" s="1"/>
      <c r="H309" s="1"/>
      <c r="I309" s="1"/>
      <c r="J309" s="1"/>
      <c r="K309" s="1"/>
      <c r="L309" s="1"/>
      <c r="M309" s="1"/>
      <c r="N309" s="1"/>
      <c r="O309" s="1">
        <v>1</v>
      </c>
    </row>
    <row r="310" spans="1:15" x14ac:dyDescent="0.3">
      <c r="A310" s="1" t="s">
        <v>338</v>
      </c>
      <c r="B310" s="1" t="s">
        <v>29</v>
      </c>
      <c r="C310" s="2">
        <v>44136</v>
      </c>
      <c r="D310" s="1" t="s">
        <v>424</v>
      </c>
      <c r="E310" s="1" t="s">
        <v>367</v>
      </c>
      <c r="F310" s="2"/>
      <c r="G310" s="1"/>
      <c r="H310" s="1"/>
      <c r="I310" s="1"/>
      <c r="J310" s="1"/>
      <c r="K310" s="1"/>
      <c r="L310" s="1"/>
      <c r="M310" s="1"/>
      <c r="N310" s="1"/>
      <c r="O310" s="1">
        <v>1</v>
      </c>
    </row>
    <row r="311" spans="1:15" x14ac:dyDescent="0.3">
      <c r="A311" s="1" t="s">
        <v>339</v>
      </c>
      <c r="B311" s="1" t="s">
        <v>29</v>
      </c>
      <c r="C311" s="2">
        <v>44136</v>
      </c>
      <c r="D311" s="1" t="s">
        <v>424</v>
      </c>
      <c r="E311" s="1" t="s">
        <v>367</v>
      </c>
      <c r="F311" s="2"/>
      <c r="G311" s="1"/>
      <c r="H311" s="1"/>
      <c r="I311" s="1"/>
      <c r="J311" s="1"/>
      <c r="K311" s="1"/>
      <c r="L311" s="1"/>
      <c r="M311" s="1"/>
      <c r="N311" s="1"/>
      <c r="O311" s="1">
        <v>1</v>
      </c>
    </row>
    <row r="312" spans="1:15" x14ac:dyDescent="0.3">
      <c r="A312" s="1" t="s">
        <v>340</v>
      </c>
      <c r="B312" s="1" t="s">
        <v>29</v>
      </c>
      <c r="C312" s="2">
        <v>44136</v>
      </c>
      <c r="D312" s="1" t="s">
        <v>424</v>
      </c>
      <c r="E312" s="1" t="s">
        <v>367</v>
      </c>
      <c r="F312" s="2"/>
      <c r="G312" s="1"/>
      <c r="H312" s="1"/>
      <c r="I312" s="1"/>
      <c r="J312" s="1"/>
      <c r="K312" s="1"/>
      <c r="L312" s="1"/>
      <c r="M312" s="1"/>
      <c r="N312" s="1"/>
      <c r="O312" s="1">
        <v>1</v>
      </c>
    </row>
    <row r="313" spans="1:15" x14ac:dyDescent="0.3">
      <c r="A313" s="1" t="s">
        <v>341</v>
      </c>
      <c r="B313" s="1" t="s">
        <v>29</v>
      </c>
      <c r="C313" s="2">
        <v>44136</v>
      </c>
      <c r="D313" s="1" t="s">
        <v>424</v>
      </c>
      <c r="E313" s="1" t="s">
        <v>367</v>
      </c>
      <c r="F313" s="2"/>
      <c r="G313" s="1"/>
      <c r="H313" s="1"/>
      <c r="I313" s="1"/>
      <c r="J313" s="1"/>
      <c r="K313" s="1"/>
      <c r="L313" s="1"/>
      <c r="M313" s="1"/>
      <c r="N313" s="1"/>
      <c r="O313" s="1">
        <v>1</v>
      </c>
    </row>
    <row r="314" spans="1:15" x14ac:dyDescent="0.3">
      <c r="A314" s="1" t="s">
        <v>342</v>
      </c>
      <c r="B314" s="1" t="s">
        <v>29</v>
      </c>
      <c r="C314" s="2">
        <v>44136</v>
      </c>
      <c r="D314" s="1" t="s">
        <v>424</v>
      </c>
      <c r="E314" s="1" t="s">
        <v>367</v>
      </c>
      <c r="F314" s="2"/>
      <c r="G314" s="1"/>
      <c r="H314" s="1"/>
      <c r="I314" s="1"/>
      <c r="J314" s="1"/>
      <c r="K314" s="1"/>
      <c r="L314" s="1"/>
      <c r="M314" s="1"/>
      <c r="N314" s="1"/>
      <c r="O314" s="1">
        <v>1</v>
      </c>
    </row>
    <row r="315" spans="1:15" x14ac:dyDescent="0.3">
      <c r="A315" s="1" t="s">
        <v>343</v>
      </c>
      <c r="B315" s="1" t="s">
        <v>29</v>
      </c>
      <c r="C315" s="2">
        <v>44136</v>
      </c>
      <c r="D315" s="1" t="s">
        <v>424</v>
      </c>
      <c r="E315" s="1" t="s">
        <v>367</v>
      </c>
      <c r="F315" s="2"/>
      <c r="G315" s="1"/>
      <c r="H315" s="1"/>
      <c r="I315" s="1"/>
      <c r="J315" s="1"/>
      <c r="K315" s="1"/>
      <c r="L315" s="1"/>
      <c r="M315" s="1"/>
      <c r="N315" s="1"/>
      <c r="O315" s="1">
        <v>1</v>
      </c>
    </row>
    <row r="316" spans="1:15" x14ac:dyDescent="0.3">
      <c r="A316" s="1" t="s">
        <v>344</v>
      </c>
      <c r="B316" s="1" t="s">
        <v>29</v>
      </c>
      <c r="C316" s="2">
        <v>44166</v>
      </c>
      <c r="D316" s="1" t="s">
        <v>424</v>
      </c>
      <c r="E316" s="1" t="s">
        <v>367</v>
      </c>
      <c r="F316" s="2"/>
      <c r="G316" s="1"/>
      <c r="H316" s="1"/>
      <c r="I316" s="1"/>
      <c r="J316" s="1"/>
      <c r="K316" s="1"/>
      <c r="L316" s="1"/>
      <c r="M316" s="1"/>
      <c r="N316" s="1"/>
      <c r="O316" s="1">
        <v>1</v>
      </c>
    </row>
    <row r="317" spans="1:15" x14ac:dyDescent="0.3">
      <c r="A317" s="1" t="s">
        <v>345</v>
      </c>
      <c r="B317" s="1" t="s">
        <v>29</v>
      </c>
      <c r="C317" s="2">
        <v>44166</v>
      </c>
      <c r="D317" s="1" t="s">
        <v>424</v>
      </c>
      <c r="E317" s="1" t="s">
        <v>367</v>
      </c>
      <c r="F317" s="2"/>
      <c r="G317" s="1"/>
      <c r="H317" s="1"/>
      <c r="I317" s="1"/>
      <c r="J317" s="1"/>
      <c r="K317" s="1"/>
      <c r="L317" s="1"/>
      <c r="M317" s="1"/>
      <c r="N317" s="1"/>
      <c r="O317" s="1">
        <v>1</v>
      </c>
    </row>
    <row r="318" spans="1:15" x14ac:dyDescent="0.3">
      <c r="A318" s="1" t="s">
        <v>346</v>
      </c>
      <c r="B318" s="1" t="s">
        <v>29</v>
      </c>
      <c r="C318" s="2">
        <v>44166</v>
      </c>
      <c r="D318" s="1" t="s">
        <v>424</v>
      </c>
      <c r="E318" s="1" t="s">
        <v>367</v>
      </c>
      <c r="F318" s="2"/>
      <c r="G318" s="1"/>
      <c r="H318" s="1"/>
      <c r="I318" s="1"/>
      <c r="J318" s="1"/>
      <c r="K318" s="1"/>
      <c r="L318" s="1"/>
      <c r="M318" s="1"/>
      <c r="N318" s="1"/>
      <c r="O318" s="1">
        <v>1</v>
      </c>
    </row>
    <row r="319" spans="1:15" x14ac:dyDescent="0.3">
      <c r="A319" s="1" t="s">
        <v>347</v>
      </c>
      <c r="B319" s="1" t="s">
        <v>29</v>
      </c>
      <c r="C319" s="2">
        <v>44166</v>
      </c>
      <c r="D319" s="1" t="s">
        <v>424</v>
      </c>
      <c r="E319" s="1" t="s">
        <v>367</v>
      </c>
      <c r="F319" s="2"/>
      <c r="G319" s="1"/>
      <c r="H319" s="1"/>
      <c r="I319" s="1"/>
      <c r="J319" s="1"/>
      <c r="K319" s="1"/>
      <c r="L319" s="1"/>
      <c r="M319" s="1"/>
      <c r="N319" s="1"/>
      <c r="O319" s="1">
        <v>1</v>
      </c>
    </row>
    <row r="320" spans="1:15" x14ac:dyDescent="0.3">
      <c r="A320" s="1" t="s">
        <v>348</v>
      </c>
      <c r="B320" s="1" t="s">
        <v>29</v>
      </c>
      <c r="C320" s="2">
        <v>44166</v>
      </c>
      <c r="D320" s="1" t="s">
        <v>424</v>
      </c>
      <c r="E320" s="1" t="s">
        <v>367</v>
      </c>
      <c r="F320" s="2"/>
      <c r="G320" s="1"/>
      <c r="H320" s="1"/>
      <c r="I320" s="1"/>
      <c r="J320" s="1"/>
      <c r="K320" s="1"/>
      <c r="L320" s="1"/>
      <c r="M320" s="1"/>
      <c r="N320" s="1"/>
      <c r="O320" s="1">
        <v>1</v>
      </c>
    </row>
    <row r="321" spans="1:15" x14ac:dyDescent="0.3">
      <c r="A321" s="1" t="s">
        <v>349</v>
      </c>
      <c r="B321" s="1" t="s">
        <v>29</v>
      </c>
      <c r="C321" s="2">
        <v>44166</v>
      </c>
      <c r="D321" s="1" t="s">
        <v>424</v>
      </c>
      <c r="E321" s="1" t="s">
        <v>367</v>
      </c>
      <c r="F321" s="2"/>
      <c r="G321" s="1"/>
      <c r="H321" s="1"/>
      <c r="I321" s="1"/>
      <c r="J321" s="1"/>
      <c r="K321" s="1"/>
      <c r="L321" s="1"/>
      <c r="M321" s="1"/>
      <c r="N321" s="1"/>
      <c r="O321" s="1">
        <v>1</v>
      </c>
    </row>
    <row r="322" spans="1:15" x14ac:dyDescent="0.3">
      <c r="A322" s="1" t="s">
        <v>350</v>
      </c>
      <c r="B322" s="1" t="s">
        <v>29</v>
      </c>
      <c r="C322" s="2">
        <v>44166</v>
      </c>
      <c r="D322" s="1" t="s">
        <v>424</v>
      </c>
      <c r="E322" s="1" t="s">
        <v>367</v>
      </c>
      <c r="F322" s="2"/>
      <c r="G322" s="1"/>
      <c r="H322" s="1"/>
      <c r="I322" s="1"/>
      <c r="J322" s="1"/>
      <c r="K322" s="1"/>
      <c r="L322" s="1"/>
      <c r="M322" s="1"/>
      <c r="N322" s="1"/>
      <c r="O322" s="1">
        <v>1</v>
      </c>
    </row>
    <row r="323" spans="1:15" x14ac:dyDescent="0.3">
      <c r="A323" s="1" t="s">
        <v>351</v>
      </c>
      <c r="B323" s="1" t="s">
        <v>29</v>
      </c>
      <c r="C323" s="2">
        <v>44166</v>
      </c>
      <c r="D323" s="1" t="s">
        <v>424</v>
      </c>
      <c r="E323" s="1" t="s">
        <v>367</v>
      </c>
      <c r="F323" s="2"/>
      <c r="G323" s="1"/>
      <c r="H323" s="1"/>
      <c r="I323" s="1"/>
      <c r="J323" s="1"/>
      <c r="K323" s="1"/>
      <c r="L323" s="1"/>
      <c r="M323" s="1"/>
      <c r="N323" s="1"/>
      <c r="O323" s="1">
        <v>1</v>
      </c>
    </row>
    <row r="324" spans="1:15" x14ac:dyDescent="0.3">
      <c r="A324" s="1" t="s">
        <v>352</v>
      </c>
      <c r="B324" s="1" t="s">
        <v>29</v>
      </c>
      <c r="C324" s="2">
        <v>44166</v>
      </c>
      <c r="D324" s="1" t="s">
        <v>424</v>
      </c>
      <c r="E324" s="1" t="s">
        <v>367</v>
      </c>
      <c r="F324" s="2"/>
      <c r="G324" s="1"/>
      <c r="H324" s="1"/>
      <c r="I324" s="1"/>
      <c r="J324" s="1"/>
      <c r="K324" s="1"/>
      <c r="L324" s="1"/>
      <c r="M324" s="1"/>
      <c r="N324" s="1"/>
      <c r="O324" s="1">
        <v>1</v>
      </c>
    </row>
    <row r="325" spans="1:15" x14ac:dyDescent="0.3">
      <c r="A325" s="1" t="s">
        <v>353</v>
      </c>
      <c r="B325" s="1" t="s">
        <v>29</v>
      </c>
      <c r="C325" s="2">
        <v>44166</v>
      </c>
      <c r="D325" s="1" t="s">
        <v>424</v>
      </c>
      <c r="E325" s="1" t="s">
        <v>367</v>
      </c>
      <c r="F325" s="2"/>
      <c r="G325" s="1"/>
      <c r="H325" s="1"/>
      <c r="I325" s="1"/>
      <c r="J325" s="1"/>
      <c r="K325" s="1"/>
      <c r="L325" s="1"/>
      <c r="M325" s="1"/>
      <c r="N325" s="1"/>
      <c r="O325" s="1">
        <v>1</v>
      </c>
    </row>
    <row r="326" spans="1:15" x14ac:dyDescent="0.3">
      <c r="A326" s="1" t="s">
        <v>354</v>
      </c>
      <c r="B326" s="1" t="s">
        <v>29</v>
      </c>
      <c r="C326" s="2">
        <v>44166</v>
      </c>
      <c r="D326" s="1" t="s">
        <v>424</v>
      </c>
      <c r="E326" s="1" t="s">
        <v>367</v>
      </c>
      <c r="F326" s="2"/>
      <c r="G326" s="1"/>
      <c r="H326" s="1"/>
      <c r="I326" s="1"/>
      <c r="J326" s="1"/>
      <c r="K326" s="1"/>
      <c r="L326" s="1"/>
      <c r="M326" s="1"/>
      <c r="N326" s="1"/>
      <c r="O326" s="1">
        <v>1</v>
      </c>
    </row>
    <row r="327" spans="1:15" x14ac:dyDescent="0.3">
      <c r="A327" s="1" t="s">
        <v>355</v>
      </c>
      <c r="B327" s="1" t="s">
        <v>29</v>
      </c>
      <c r="C327" s="2">
        <v>44166</v>
      </c>
      <c r="D327" s="1" t="s">
        <v>424</v>
      </c>
      <c r="E327" s="1" t="s">
        <v>367</v>
      </c>
      <c r="F327" s="2"/>
      <c r="G327" s="1"/>
      <c r="H327" s="1"/>
      <c r="I327" s="1"/>
      <c r="J327" s="1"/>
      <c r="K327" s="1"/>
      <c r="L327" s="1"/>
      <c r="M327" s="1"/>
      <c r="N327" s="1"/>
      <c r="O327" s="1">
        <v>1</v>
      </c>
    </row>
    <row r="328" spans="1:15" x14ac:dyDescent="0.3">
      <c r="A328" s="1" t="s">
        <v>356</v>
      </c>
      <c r="B328" s="1" t="s">
        <v>29</v>
      </c>
      <c r="C328" s="2">
        <v>44166</v>
      </c>
      <c r="D328" s="1" t="s">
        <v>424</v>
      </c>
      <c r="E328" s="1" t="s">
        <v>367</v>
      </c>
      <c r="F328" s="2"/>
      <c r="G328" s="1"/>
      <c r="H328" s="1"/>
      <c r="I328" s="1"/>
      <c r="J328" s="1"/>
      <c r="K328" s="1"/>
      <c r="L328" s="1"/>
      <c r="M328" s="1"/>
      <c r="N328" s="1"/>
      <c r="O328" s="1">
        <v>1</v>
      </c>
    </row>
    <row r="329" spans="1:15" x14ac:dyDescent="0.3">
      <c r="A329" s="1" t="s">
        <v>357</v>
      </c>
      <c r="B329" s="1" t="s">
        <v>29</v>
      </c>
      <c r="C329" s="2">
        <v>44166</v>
      </c>
      <c r="D329" s="1" t="s">
        <v>424</v>
      </c>
      <c r="E329" s="1" t="s">
        <v>367</v>
      </c>
      <c r="F329" s="2"/>
      <c r="G329" s="1"/>
      <c r="H329" s="1"/>
      <c r="I329" s="1"/>
      <c r="J329" s="1"/>
      <c r="K329" s="1"/>
      <c r="L329" s="1"/>
      <c r="M329" s="1"/>
      <c r="N329" s="1"/>
      <c r="O329" s="1">
        <v>1</v>
      </c>
    </row>
    <row r="330" spans="1:15" x14ac:dyDescent="0.3">
      <c r="A330" s="1" t="s">
        <v>358</v>
      </c>
      <c r="B330" s="1" t="s">
        <v>29</v>
      </c>
      <c r="C330" s="2">
        <v>44166</v>
      </c>
      <c r="D330" s="1" t="s">
        <v>424</v>
      </c>
      <c r="E330" s="1" t="s">
        <v>367</v>
      </c>
      <c r="F330" s="2"/>
      <c r="G330" s="1"/>
      <c r="H330" s="1"/>
      <c r="I330" s="1"/>
      <c r="J330" s="1"/>
      <c r="K330" s="1"/>
      <c r="L330" s="1"/>
      <c r="M330" s="1"/>
      <c r="N330" s="1"/>
      <c r="O330" s="1">
        <v>1</v>
      </c>
    </row>
    <row r="331" spans="1:15" x14ac:dyDescent="0.3">
      <c r="A331" s="1" t="s">
        <v>359</v>
      </c>
      <c r="B331" s="1" t="s">
        <v>29</v>
      </c>
      <c r="C331" s="2">
        <v>44166</v>
      </c>
      <c r="D331" s="1" t="s">
        <v>424</v>
      </c>
      <c r="E331" s="1" t="s">
        <v>367</v>
      </c>
      <c r="F331" s="2"/>
      <c r="G331" s="1"/>
      <c r="H331" s="1"/>
      <c r="I331" s="1"/>
      <c r="J331" s="1"/>
      <c r="K331" s="1"/>
      <c r="L331" s="1"/>
      <c r="M331" s="1"/>
      <c r="N331" s="1"/>
      <c r="O331" s="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26" zoomScale="146" zoomScaleNormal="146" workbookViewId="0">
      <selection activeCell="J34" sqref="J34"/>
    </sheetView>
  </sheetViews>
  <sheetFormatPr baseColWidth="10" defaultRowHeight="14.4" x14ac:dyDescent="0.3"/>
  <cols>
    <col min="1" max="1" width="14.21875" customWidth="1"/>
    <col min="2" max="2" width="11.6640625" customWidth="1"/>
    <col min="3" max="3" width="11.21875" customWidth="1"/>
    <col min="4" max="4" width="11.5546875" customWidth="1"/>
    <col min="5" max="5" width="11.6640625" customWidth="1"/>
    <col min="6" max="6" width="11.109375" customWidth="1"/>
    <col min="7" max="7" width="12.77734375" customWidth="1"/>
    <col min="8" max="8" width="10.77734375" customWidth="1"/>
    <col min="9" max="9" width="10.88671875" customWidth="1"/>
    <col min="10" max="10" width="20.33203125" customWidth="1"/>
    <col min="11" max="11" width="11.88671875" bestFit="1" customWidth="1"/>
    <col min="13" max="13" width="21.88671875" customWidth="1"/>
    <col min="14" max="14" width="14.33203125" customWidth="1"/>
  </cols>
  <sheetData>
    <row r="1" spans="1:14" x14ac:dyDescent="0.3">
      <c r="A1" s="88" t="s">
        <v>423</v>
      </c>
      <c r="B1" s="86" t="s">
        <v>424</v>
      </c>
      <c r="M1" s="54" t="s">
        <v>423</v>
      </c>
      <c r="N1" t="s">
        <v>424</v>
      </c>
    </row>
    <row r="3" spans="1:14" ht="28.8" x14ac:dyDescent="0.3">
      <c r="A3" s="85" t="s">
        <v>420</v>
      </c>
      <c r="B3" s="85" t="s">
        <v>427</v>
      </c>
      <c r="C3" s="86"/>
      <c r="D3" s="86"/>
      <c r="E3" s="86"/>
      <c r="F3" s="86"/>
      <c r="G3" s="86"/>
      <c r="H3" s="86"/>
      <c r="I3" s="86"/>
      <c r="J3" s="86"/>
      <c r="K3" s="86"/>
      <c r="M3" s="54" t="s">
        <v>429</v>
      </c>
      <c r="N3" t="s">
        <v>370</v>
      </c>
    </row>
    <row r="4" spans="1:14" ht="28.8" x14ac:dyDescent="0.3">
      <c r="A4" s="85" t="s">
        <v>426</v>
      </c>
      <c r="B4" s="86" t="s">
        <v>360</v>
      </c>
      <c r="C4" s="86" t="s">
        <v>361</v>
      </c>
      <c r="D4" s="86" t="s">
        <v>362</v>
      </c>
      <c r="E4" s="86" t="s">
        <v>363</v>
      </c>
      <c r="F4" s="86" t="s">
        <v>364</v>
      </c>
      <c r="G4" s="86" t="s">
        <v>365</v>
      </c>
      <c r="H4" s="86" t="s">
        <v>366</v>
      </c>
      <c r="I4" s="86" t="s">
        <v>367</v>
      </c>
      <c r="J4" s="86" t="s">
        <v>419</v>
      </c>
      <c r="K4" s="86" t="s">
        <v>368</v>
      </c>
      <c r="M4" s="55" t="s">
        <v>360</v>
      </c>
      <c r="N4" s="1">
        <v>37</v>
      </c>
    </row>
    <row r="5" spans="1:14" x14ac:dyDescent="0.3">
      <c r="A5" s="89" t="s">
        <v>360</v>
      </c>
      <c r="B5" s="90">
        <v>1</v>
      </c>
      <c r="C5" s="90">
        <v>3</v>
      </c>
      <c r="D5" s="90">
        <v>3</v>
      </c>
      <c r="E5" s="90">
        <v>3</v>
      </c>
      <c r="F5" s="90">
        <v>1</v>
      </c>
      <c r="G5" s="90">
        <v>4</v>
      </c>
      <c r="H5" s="90">
        <v>2</v>
      </c>
      <c r="I5" s="90">
        <v>1</v>
      </c>
      <c r="J5" s="90">
        <v>19</v>
      </c>
      <c r="K5" s="90">
        <v>37</v>
      </c>
      <c r="M5" s="55" t="s">
        <v>361</v>
      </c>
      <c r="N5" s="1">
        <v>39</v>
      </c>
    </row>
    <row r="6" spans="1:14" x14ac:dyDescent="0.3">
      <c r="A6" s="89" t="s">
        <v>361</v>
      </c>
      <c r="B6" s="90"/>
      <c r="C6" s="90">
        <v>1</v>
      </c>
      <c r="D6" s="90">
        <v>5</v>
      </c>
      <c r="E6" s="90">
        <v>3</v>
      </c>
      <c r="F6" s="90">
        <v>4</v>
      </c>
      <c r="G6" s="90">
        <v>3</v>
      </c>
      <c r="H6" s="90">
        <v>3</v>
      </c>
      <c r="I6" s="90">
        <v>1</v>
      </c>
      <c r="J6" s="90">
        <v>19</v>
      </c>
      <c r="K6" s="90">
        <v>39</v>
      </c>
      <c r="M6" s="55" t="s">
        <v>362</v>
      </c>
      <c r="N6" s="1">
        <v>23</v>
      </c>
    </row>
    <row r="7" spans="1:14" x14ac:dyDescent="0.3">
      <c r="A7" s="89" t="s">
        <v>362</v>
      </c>
      <c r="B7" s="90"/>
      <c r="C7" s="90"/>
      <c r="D7" s="90">
        <v>1</v>
      </c>
      <c r="E7" s="90">
        <v>1</v>
      </c>
      <c r="F7" s="90">
        <v>4</v>
      </c>
      <c r="G7" s="90">
        <v>1</v>
      </c>
      <c r="H7" s="90">
        <v>3</v>
      </c>
      <c r="I7" s="90">
        <v>1</v>
      </c>
      <c r="J7" s="90">
        <v>12</v>
      </c>
      <c r="K7" s="90">
        <v>23</v>
      </c>
      <c r="M7" s="55" t="s">
        <v>363</v>
      </c>
      <c r="N7" s="1">
        <v>34</v>
      </c>
    </row>
    <row r="8" spans="1:14" x14ac:dyDescent="0.3">
      <c r="A8" s="89" t="s">
        <v>363</v>
      </c>
      <c r="B8" s="90"/>
      <c r="C8" s="90"/>
      <c r="D8" s="90"/>
      <c r="E8" s="90"/>
      <c r="F8" s="90">
        <v>1</v>
      </c>
      <c r="G8" s="90">
        <v>3</v>
      </c>
      <c r="H8" s="90">
        <v>1</v>
      </c>
      <c r="I8" s="90">
        <v>3</v>
      </c>
      <c r="J8" s="90">
        <v>26</v>
      </c>
      <c r="K8" s="90">
        <v>34</v>
      </c>
      <c r="M8" s="55" t="s">
        <v>364</v>
      </c>
      <c r="N8" s="1">
        <v>42</v>
      </c>
    </row>
    <row r="9" spans="1:14" x14ac:dyDescent="0.3">
      <c r="A9" s="89" t="s">
        <v>364</v>
      </c>
      <c r="B9" s="90"/>
      <c r="C9" s="90"/>
      <c r="D9" s="90"/>
      <c r="E9" s="90"/>
      <c r="F9" s="90"/>
      <c r="G9" s="90">
        <v>6</v>
      </c>
      <c r="H9" s="90">
        <v>4</v>
      </c>
      <c r="I9" s="90">
        <v>5</v>
      </c>
      <c r="J9" s="90">
        <v>27</v>
      </c>
      <c r="K9" s="90">
        <v>42</v>
      </c>
      <c r="M9" s="55" t="s">
        <v>365</v>
      </c>
      <c r="N9" s="1">
        <v>63</v>
      </c>
    </row>
    <row r="10" spans="1:14" x14ac:dyDescent="0.3">
      <c r="A10" s="89" t="s">
        <v>365</v>
      </c>
      <c r="B10" s="90"/>
      <c r="C10" s="90"/>
      <c r="D10" s="90"/>
      <c r="E10" s="90"/>
      <c r="F10" s="90"/>
      <c r="G10" s="90">
        <v>2</v>
      </c>
      <c r="H10" s="90">
        <v>8</v>
      </c>
      <c r="I10" s="90">
        <v>7</v>
      </c>
      <c r="J10" s="90">
        <v>46</v>
      </c>
      <c r="K10" s="90">
        <v>63</v>
      </c>
      <c r="M10" s="55" t="s">
        <v>366</v>
      </c>
      <c r="N10" s="1">
        <v>52</v>
      </c>
    </row>
    <row r="11" spans="1:14" x14ac:dyDescent="0.3">
      <c r="A11" s="89" t="s">
        <v>366</v>
      </c>
      <c r="B11" s="90"/>
      <c r="C11" s="90"/>
      <c r="D11" s="90"/>
      <c r="E11" s="90"/>
      <c r="F11" s="90"/>
      <c r="G11" s="90"/>
      <c r="H11" s="90">
        <v>1</v>
      </c>
      <c r="I11" s="90">
        <v>7</v>
      </c>
      <c r="J11" s="90">
        <v>44</v>
      </c>
      <c r="K11" s="90">
        <v>52</v>
      </c>
      <c r="M11" s="55" t="s">
        <v>367</v>
      </c>
      <c r="N11" s="1">
        <v>38</v>
      </c>
    </row>
    <row r="12" spans="1:14" x14ac:dyDescent="0.3">
      <c r="A12" s="89" t="s">
        <v>367</v>
      </c>
      <c r="B12" s="90"/>
      <c r="C12" s="90"/>
      <c r="D12" s="90"/>
      <c r="E12" s="90"/>
      <c r="F12" s="90"/>
      <c r="G12" s="90"/>
      <c r="H12" s="90"/>
      <c r="I12" s="90"/>
      <c r="J12" s="90">
        <v>38</v>
      </c>
      <c r="K12" s="90">
        <v>38</v>
      </c>
      <c r="M12" s="55" t="s">
        <v>368</v>
      </c>
      <c r="N12" s="1">
        <v>328</v>
      </c>
    </row>
    <row r="13" spans="1:14" x14ac:dyDescent="0.3">
      <c r="A13" s="89" t="s">
        <v>368</v>
      </c>
      <c r="B13" s="90">
        <v>1</v>
      </c>
      <c r="C13" s="90">
        <v>4</v>
      </c>
      <c r="D13" s="90">
        <v>9</v>
      </c>
      <c r="E13" s="90">
        <v>7</v>
      </c>
      <c r="F13" s="90">
        <v>10</v>
      </c>
      <c r="G13" s="90">
        <v>19</v>
      </c>
      <c r="H13" s="90">
        <v>22</v>
      </c>
      <c r="I13" s="90">
        <v>25</v>
      </c>
      <c r="J13" s="90">
        <v>231</v>
      </c>
      <c r="K13" s="90">
        <v>328</v>
      </c>
    </row>
    <row r="17" spans="1:10" x14ac:dyDescent="0.3">
      <c r="A17" s="66" t="s">
        <v>428</v>
      </c>
      <c r="B17" s="59" t="s">
        <v>431</v>
      </c>
      <c r="C17" s="60" t="s">
        <v>432</v>
      </c>
      <c r="D17" s="60" t="s">
        <v>433</v>
      </c>
      <c r="E17" s="59" t="s">
        <v>434</v>
      </c>
      <c r="F17" s="60" t="s">
        <v>435</v>
      </c>
      <c r="G17" s="59" t="s">
        <v>436</v>
      </c>
      <c r="H17" s="60" t="s">
        <v>437</v>
      </c>
      <c r="I17" s="60" t="s">
        <v>438</v>
      </c>
      <c r="J17" s="70" t="s">
        <v>430</v>
      </c>
    </row>
    <row r="18" spans="1:10" x14ac:dyDescent="0.3">
      <c r="A18" s="67" t="s">
        <v>360</v>
      </c>
      <c r="B18" s="61">
        <f>IFERROR((INDEX($B5:$I5,1,(MATCH($A5,$B$4:$I$4,0)+COLUMNS($B:B)-1)))," ")</f>
        <v>1</v>
      </c>
      <c r="C18" s="40">
        <f>IFERROR((INDEX($B5:$I5,1,(MATCH($A5,$B$4:$I$4,0)+COLUMNS($B:C)-1)))," ")</f>
        <v>3</v>
      </c>
      <c r="D18" s="40">
        <f>IFERROR((INDEX($B5:$I5,1,(MATCH($A5,$B$4:$I$4,0)+COLUMNS($B:D)-1)))," ")</f>
        <v>3</v>
      </c>
      <c r="E18" s="40">
        <f>IFERROR((INDEX($B5:$I5,1,(MATCH($A5,$B$4:$I$4,0)+COLUMNS($B:E)-1)))," ")</f>
        <v>3</v>
      </c>
      <c r="F18" s="40">
        <f>IFERROR((INDEX($B5:$I5,1,(MATCH($A5,$B$4:$I$4,0)+COLUMNS($B:F)-1)))," ")</f>
        <v>1</v>
      </c>
      <c r="G18" s="40">
        <f>IFERROR((INDEX($B5:$I5,1,(MATCH($A5,$B$4:$I$4,0)+COLUMNS($B:G)-1)))," ")</f>
        <v>4</v>
      </c>
      <c r="H18" s="40">
        <f>IFERROR((INDEX($B5:$I5,1,(MATCH($A5,$B$4:$I$4,0)+COLUMNS($B:H)-1)))," ")</f>
        <v>2</v>
      </c>
      <c r="I18" s="62">
        <f>IFERROR((INDEX($B5:$I5,1,(MATCH($A5,$B$4:$I$4,0)+COLUMNS($B:I)-1)))," ")</f>
        <v>1</v>
      </c>
      <c r="J18" s="71">
        <f>N4</f>
        <v>37</v>
      </c>
    </row>
    <row r="19" spans="1:10" x14ac:dyDescent="0.3">
      <c r="A19" s="67" t="s">
        <v>361</v>
      </c>
      <c r="B19" s="61">
        <f>IFERROR((INDEX($B6:$I6,1,(MATCH($A6,$B$4:$I$4,0)+COLUMNS($B:B)-1)))," ")</f>
        <v>1</v>
      </c>
      <c r="C19" s="40">
        <f>IFERROR((INDEX($B6:$I6,1,(MATCH($A6,$B$4:$I$4,0)+COLUMNS($B:C)-1)))," ")</f>
        <v>5</v>
      </c>
      <c r="D19" s="40">
        <f>IFERROR((INDEX($B6:$I6,1,(MATCH($A6,$B$4:$I$4,0)+COLUMNS($B:D)-1)))," ")</f>
        <v>3</v>
      </c>
      <c r="E19" s="40">
        <f>IFERROR((INDEX($B6:$I6,1,(MATCH($A6,$B$4:$I$4,0)+COLUMNS($B:E)-1)))," ")</f>
        <v>4</v>
      </c>
      <c r="F19" s="40">
        <f>IFERROR((INDEX($B6:$I6,1,(MATCH($A6,$B$4:$I$4,0)+COLUMNS($B:F)-1)))," ")</f>
        <v>3</v>
      </c>
      <c r="G19" s="40">
        <f>IFERROR((INDEX($B6:$I6,1,(MATCH($A6,$B$4:$I$4,0)+COLUMNS($B:G)-1)))," ")</f>
        <v>3</v>
      </c>
      <c r="H19" s="40">
        <f>IFERROR((INDEX($B6:$I6,1,(MATCH($A6,$B$4:$I$4,0)+COLUMNS($B:H)-1)))," ")</f>
        <v>1</v>
      </c>
      <c r="I19" s="62" t="str">
        <f>IFERROR((INDEX($B6:$I6,1,(MATCH($A6,$B$4:$I$4,0)+COLUMNS($B:I)-1)))," ")</f>
        <v xml:space="preserve"> </v>
      </c>
      <c r="J19" s="71">
        <f t="shared" ref="J19:J25" si="0">N5</f>
        <v>39</v>
      </c>
    </row>
    <row r="20" spans="1:10" x14ac:dyDescent="0.3">
      <c r="A20" s="67" t="s">
        <v>362</v>
      </c>
      <c r="B20" s="61">
        <f>IFERROR((INDEX($B7:$I7,1,(MATCH($A7,$B$4:$I$4,0)+COLUMNS($B:B)-1)))," ")</f>
        <v>1</v>
      </c>
      <c r="C20" s="40">
        <f>IFERROR((INDEX($B7:$I7,1,(MATCH($A7,$B$4:$I$4,0)+COLUMNS($B:C)-1)))," ")</f>
        <v>1</v>
      </c>
      <c r="D20" s="40">
        <f>IFERROR((INDEX($B7:$I7,1,(MATCH($A7,$B$4:$I$4,0)+COLUMNS($B:D)-1)))," ")</f>
        <v>4</v>
      </c>
      <c r="E20" s="40">
        <f>IFERROR((INDEX($B7:$I7,1,(MATCH($A7,$B$4:$I$4,0)+COLUMNS($B:E)-1)))," ")</f>
        <v>1</v>
      </c>
      <c r="F20" s="40">
        <f>IFERROR((INDEX($B7:$I7,1,(MATCH($A7,$B$4:$I$4,0)+COLUMNS($B:F)-1)))," ")</f>
        <v>3</v>
      </c>
      <c r="G20" s="40">
        <f>IFERROR((INDEX($B7:$I7,1,(MATCH($A7,$B$4:$I$4,0)+COLUMNS($B:G)-1)))," ")</f>
        <v>1</v>
      </c>
      <c r="H20" s="40" t="str">
        <f>IFERROR((INDEX($B7:$I7,1,(MATCH($A7,$B$4:$I$4,0)+COLUMNS($B:H)-1)))," ")</f>
        <v xml:space="preserve"> </v>
      </c>
      <c r="I20" s="62" t="str">
        <f>IFERROR((INDEX($B7:$I7,1,(MATCH($A7,$B$4:$I$4,0)+COLUMNS($B:I)-1)))," ")</f>
        <v xml:space="preserve"> </v>
      </c>
      <c r="J20" s="71">
        <f t="shared" si="0"/>
        <v>23</v>
      </c>
    </row>
    <row r="21" spans="1:10" x14ac:dyDescent="0.3">
      <c r="A21" s="67" t="s">
        <v>363</v>
      </c>
      <c r="B21" s="61">
        <f>IFERROR((INDEX($B8:$I8,1,(MATCH($A8,$B$4:$I$4,0)+COLUMNS($B:B)-1)))," ")</f>
        <v>0</v>
      </c>
      <c r="C21" s="40">
        <f>IFERROR((INDEX($B8:$I8,1,(MATCH($A8,$B$4:$I$4,0)+COLUMNS($B:C)-1)))," ")</f>
        <v>1</v>
      </c>
      <c r="D21" s="40">
        <f>IFERROR((INDEX($B8:$I8,1,(MATCH($A8,$B$4:$I$4,0)+COLUMNS($B:D)-1)))," ")</f>
        <v>3</v>
      </c>
      <c r="E21" s="40">
        <f>IFERROR((INDEX($B8:$I8,1,(MATCH($A8,$B$4:$I$4,0)+COLUMNS($B:E)-1)))," ")</f>
        <v>1</v>
      </c>
      <c r="F21" s="40">
        <f>IFERROR((INDEX($B8:$I8,1,(MATCH($A8,$B$4:$I$4,0)+COLUMNS($B:F)-1)))," ")</f>
        <v>3</v>
      </c>
      <c r="G21" s="40" t="str">
        <f>IFERROR((INDEX($B8:$I8,1,(MATCH($A8,$B$4:$I$4,0)+COLUMNS($B:G)-1)))," ")</f>
        <v xml:space="preserve"> </v>
      </c>
      <c r="H21" s="40" t="str">
        <f>IFERROR((INDEX($B8:$I8,1,(MATCH($A8,$B$4:$I$4,0)+COLUMNS($B:H)-1)))," ")</f>
        <v xml:space="preserve"> </v>
      </c>
      <c r="I21" s="62" t="str">
        <f>IFERROR((INDEX($B8:$I8,1,(MATCH($A8,$B$4:$I$4,0)+COLUMNS($B:I)-1)))," ")</f>
        <v xml:space="preserve"> </v>
      </c>
      <c r="J21" s="71">
        <f t="shared" si="0"/>
        <v>34</v>
      </c>
    </row>
    <row r="22" spans="1:10" x14ac:dyDescent="0.3">
      <c r="A22" s="67" t="s">
        <v>364</v>
      </c>
      <c r="B22" s="61">
        <f>IFERROR((INDEX($B9:$I9,1,(MATCH($A9,$B$4:$I$4,0)+COLUMNS($B:B)-1)))," ")</f>
        <v>0</v>
      </c>
      <c r="C22" s="40">
        <f>IFERROR((INDEX($B9:$I9,1,(MATCH($A9,$B$4:$I$4,0)+COLUMNS($B:C)-1)))," ")</f>
        <v>6</v>
      </c>
      <c r="D22" s="40">
        <f>IFERROR((INDEX($B9:$I9,1,(MATCH($A9,$B$4:$I$4,0)+COLUMNS($B:D)-1)))," ")</f>
        <v>4</v>
      </c>
      <c r="E22" s="40">
        <f>IFERROR((INDEX($B9:$I9,1,(MATCH($A9,$B$4:$I$4,0)+COLUMNS($B:E)-1)))," ")</f>
        <v>5</v>
      </c>
      <c r="F22" s="40" t="str">
        <f>IFERROR((INDEX($B9:$I9,1,(MATCH($A9,$B$4:$I$4,0)+COLUMNS($B:F)-1)))," ")</f>
        <v xml:space="preserve"> </v>
      </c>
      <c r="G22" s="40" t="str">
        <f>IFERROR((INDEX($B9:$I9,1,(MATCH($A9,$B$4:$I$4,0)+COLUMNS($B:G)-1)))," ")</f>
        <v xml:space="preserve"> </v>
      </c>
      <c r="H22" s="40" t="str">
        <f>IFERROR((INDEX($B9:$I9,1,(MATCH($A9,$B$4:$I$4,0)+COLUMNS($B:H)-1)))," ")</f>
        <v xml:space="preserve"> </v>
      </c>
      <c r="I22" s="62" t="str">
        <f>IFERROR((INDEX($B9:$I9,1,(MATCH($A9,$B$4:$I$4,0)+COLUMNS($B:I)-1)))," ")</f>
        <v xml:space="preserve"> </v>
      </c>
      <c r="J22" s="71">
        <f t="shared" si="0"/>
        <v>42</v>
      </c>
    </row>
    <row r="23" spans="1:10" x14ac:dyDescent="0.3">
      <c r="A23" s="67" t="s">
        <v>365</v>
      </c>
      <c r="B23" s="61">
        <f>IFERROR((INDEX($B10:$I10,1,(MATCH($A10,$B$4:$I$4,0)+COLUMNS($B:B)-1)))," ")</f>
        <v>2</v>
      </c>
      <c r="C23" s="40">
        <f>IFERROR((INDEX($B10:$I10,1,(MATCH($A10,$B$4:$I$4,0)+COLUMNS($B:C)-1)))," ")</f>
        <v>8</v>
      </c>
      <c r="D23" s="40">
        <f>IFERROR((INDEX($B10:$I10,1,(MATCH($A10,$B$4:$I$4,0)+COLUMNS($B:D)-1)))," ")</f>
        <v>7</v>
      </c>
      <c r="E23" s="40" t="str">
        <f>IFERROR((INDEX($B10:$I10,1,(MATCH($A10,$B$4:$I$4,0)+COLUMNS($B:E)-1)))," ")</f>
        <v xml:space="preserve"> </v>
      </c>
      <c r="F23" s="40" t="str">
        <f>IFERROR((INDEX($B10:$I10,1,(MATCH($A10,$B$4:$I$4,0)+COLUMNS($B:F)-1)))," ")</f>
        <v xml:space="preserve"> </v>
      </c>
      <c r="G23" s="40" t="str">
        <f>IFERROR((INDEX($B10:$I10,1,(MATCH($A10,$B$4:$I$4,0)+COLUMNS($B:G)-1)))," ")</f>
        <v xml:space="preserve"> </v>
      </c>
      <c r="H23" s="40" t="str">
        <f>IFERROR((INDEX($B10:$I10,1,(MATCH($A10,$B$4:$I$4,0)+COLUMNS($B:H)-1)))," ")</f>
        <v xml:space="preserve"> </v>
      </c>
      <c r="I23" s="62" t="str">
        <f>IFERROR((INDEX($B10:$I10,1,(MATCH($A10,$B$4:$I$4,0)+COLUMNS($B:I)-1)))," ")</f>
        <v xml:space="preserve"> </v>
      </c>
      <c r="J23" s="71">
        <f t="shared" si="0"/>
        <v>63</v>
      </c>
    </row>
    <row r="24" spans="1:10" x14ac:dyDescent="0.3">
      <c r="A24" s="67" t="s">
        <v>366</v>
      </c>
      <c r="B24" s="61">
        <f>IFERROR((INDEX($B11:$I11,1,(MATCH($A11,$B$4:$I$4,0)+COLUMNS($B:B)-1)))," ")</f>
        <v>1</v>
      </c>
      <c r="C24" s="40">
        <f>IFERROR((INDEX($B11:$I11,1,(MATCH($A11,$B$4:$I$4,0)+COLUMNS($B:C)-1)))," ")</f>
        <v>7</v>
      </c>
      <c r="D24" s="40" t="str">
        <f>IFERROR((INDEX($B11:$I11,1,(MATCH($A11,$B$4:$I$4,0)+COLUMNS($B:D)-1)))," ")</f>
        <v xml:space="preserve"> </v>
      </c>
      <c r="E24" s="40" t="str">
        <f>IFERROR((INDEX($B11:$I11,1,(MATCH($A11,$B$4:$I$4,0)+COLUMNS($B:E)-1)))," ")</f>
        <v xml:space="preserve"> </v>
      </c>
      <c r="F24" s="40" t="str">
        <f>IFERROR((INDEX($B11:$I11,1,(MATCH($A11,$B$4:$I$4,0)+COLUMNS($B:F)-1)))," ")</f>
        <v xml:space="preserve"> </v>
      </c>
      <c r="G24" s="40" t="str">
        <f>IFERROR((INDEX($B11:$I11,1,(MATCH($A11,$B$4:$I$4,0)+COLUMNS($B:G)-1)))," ")</f>
        <v xml:space="preserve"> </v>
      </c>
      <c r="H24" s="40" t="str">
        <f>IFERROR((INDEX($B11:$I11,1,(MATCH($A11,$B$4:$I$4,0)+COLUMNS($B:H)-1)))," ")</f>
        <v xml:space="preserve"> </v>
      </c>
      <c r="I24" s="62" t="str">
        <f>IFERROR((INDEX($B11:$I11,1,(MATCH($A11,$B$4:$I$4,0)+COLUMNS($B:I)-1)))," ")</f>
        <v xml:space="preserve"> </v>
      </c>
      <c r="J24" s="71">
        <f t="shared" si="0"/>
        <v>52</v>
      </c>
    </row>
    <row r="25" spans="1:10" x14ac:dyDescent="0.3">
      <c r="A25" s="67" t="s">
        <v>367</v>
      </c>
      <c r="B25" s="61">
        <f>IFERROR((INDEX($B12:$I12,1,(MATCH($A12,$B$4:$I$4,0)+COLUMNS($B:B)-1)))," ")</f>
        <v>0</v>
      </c>
      <c r="C25" s="40" t="str">
        <f>IFERROR((INDEX($B12:$I12,1,(MATCH($A12,$B$4:$I$4,0)+COLUMNS($B:C)-1)))," ")</f>
        <v xml:space="preserve"> </v>
      </c>
      <c r="D25" s="40" t="str">
        <f>IFERROR((INDEX($B12:$I12,1,(MATCH($A12,$B$4:$I$4,0)+COLUMNS($B:D)-1)))," ")</f>
        <v xml:space="preserve"> </v>
      </c>
      <c r="E25" s="40" t="str">
        <f>IFERROR((INDEX($B12:$I12,1,(MATCH($A12,$B$4:$I$4,0)+COLUMNS($B:E)-1)))," ")</f>
        <v xml:space="preserve"> </v>
      </c>
      <c r="F25" s="40" t="str">
        <f>IFERROR((INDEX($B12:$I12,1,(MATCH($A12,$B$4:$I$4,0)+COLUMNS($B:F)-1)))," ")</f>
        <v xml:space="preserve"> </v>
      </c>
      <c r="G25" s="40" t="str">
        <f>IFERROR((INDEX($B12:$I12,1,(MATCH($A12,$B$4:$I$4,0)+COLUMNS($B:G)-1)))," ")</f>
        <v xml:space="preserve"> </v>
      </c>
      <c r="H25" s="40" t="str">
        <f>IFERROR((INDEX($B12:$I12,1,(MATCH($A12,$B$4:$I$4,0)+COLUMNS($B:H)-1)))," ")</f>
        <v xml:space="preserve"> </v>
      </c>
      <c r="I25" s="62" t="str">
        <f>IFERROR((INDEX($B12:$I12,1,(MATCH($A12,$B$4:$I$4,0)+COLUMNS($B:I)-1)))," ")</f>
        <v xml:space="preserve"> </v>
      </c>
      <c r="J25" s="71">
        <f t="shared" si="0"/>
        <v>38</v>
      </c>
    </row>
    <row r="26" spans="1:10" x14ac:dyDescent="0.3">
      <c r="A26" s="68" t="s">
        <v>368</v>
      </c>
      <c r="B26" s="63">
        <f>SUM(B18:B25)</f>
        <v>6</v>
      </c>
      <c r="C26" s="64">
        <f t="shared" ref="C26:J26" si="1">SUM(C18:C25)</f>
        <v>31</v>
      </c>
      <c r="D26" s="64">
        <f t="shared" si="1"/>
        <v>24</v>
      </c>
      <c r="E26" s="64">
        <f t="shared" si="1"/>
        <v>14</v>
      </c>
      <c r="F26" s="64">
        <f t="shared" si="1"/>
        <v>10</v>
      </c>
      <c r="G26" s="64">
        <f t="shared" si="1"/>
        <v>8</v>
      </c>
      <c r="H26" s="64">
        <f t="shared" si="1"/>
        <v>3</v>
      </c>
      <c r="I26" s="65">
        <f t="shared" si="1"/>
        <v>1</v>
      </c>
      <c r="J26" s="65">
        <f t="shared" si="1"/>
        <v>328</v>
      </c>
    </row>
    <row r="30" spans="1:10" x14ac:dyDescent="0.3">
      <c r="A30" s="69" t="s">
        <v>428</v>
      </c>
      <c r="B30" s="77" t="s">
        <v>431</v>
      </c>
      <c r="C30" s="78" t="s">
        <v>432</v>
      </c>
      <c r="D30" s="78" t="s">
        <v>433</v>
      </c>
      <c r="E30" s="78" t="s">
        <v>434</v>
      </c>
      <c r="F30" s="78" t="s">
        <v>435</v>
      </c>
      <c r="G30" s="78" t="s">
        <v>436</v>
      </c>
      <c r="H30" s="78" t="s">
        <v>437</v>
      </c>
      <c r="I30" s="79" t="s">
        <v>438</v>
      </c>
    </row>
    <row r="31" spans="1:10" x14ac:dyDescent="0.3">
      <c r="A31" s="67" t="s">
        <v>360</v>
      </c>
      <c r="B31" s="73">
        <f>IFERROR(B18/$J18," ")</f>
        <v>2.7027027027027029E-2</v>
      </c>
      <c r="C31" s="73">
        <f t="shared" ref="C31:I31" si="2">IFERROR(C18/$J18," ")</f>
        <v>8.1081081081081086E-2</v>
      </c>
      <c r="D31" s="73">
        <f t="shared" si="2"/>
        <v>8.1081081081081086E-2</v>
      </c>
      <c r="E31" s="73">
        <f t="shared" si="2"/>
        <v>8.1081081081081086E-2</v>
      </c>
      <c r="F31" s="73">
        <f t="shared" si="2"/>
        <v>2.7027027027027029E-2</v>
      </c>
      <c r="G31" s="73">
        <f t="shared" si="2"/>
        <v>0.10810810810810811</v>
      </c>
      <c r="H31" s="73">
        <f t="shared" si="2"/>
        <v>5.4054054054054057E-2</v>
      </c>
      <c r="I31" s="74">
        <f t="shared" si="2"/>
        <v>2.7027027027027029E-2</v>
      </c>
    </row>
    <row r="32" spans="1:10" x14ac:dyDescent="0.3">
      <c r="A32" s="67" t="s">
        <v>361</v>
      </c>
      <c r="B32" s="72">
        <f t="shared" ref="B32:I38" si="3">IFERROR(B19/$J19," ")</f>
        <v>2.564102564102564E-2</v>
      </c>
      <c r="C32" s="72">
        <f t="shared" si="3"/>
        <v>0.12820512820512819</v>
      </c>
      <c r="D32" s="72">
        <f t="shared" si="3"/>
        <v>7.6923076923076927E-2</v>
      </c>
      <c r="E32" s="72">
        <f t="shared" si="3"/>
        <v>0.10256410256410256</v>
      </c>
      <c r="F32" s="72">
        <f t="shared" si="3"/>
        <v>7.6923076923076927E-2</v>
      </c>
      <c r="G32" s="72">
        <f t="shared" si="3"/>
        <v>7.6923076923076927E-2</v>
      </c>
      <c r="H32" s="72">
        <f t="shared" si="3"/>
        <v>2.564102564102564E-2</v>
      </c>
      <c r="I32" s="75" t="str">
        <f t="shared" si="3"/>
        <v xml:space="preserve"> </v>
      </c>
    </row>
    <row r="33" spans="1:9" x14ac:dyDescent="0.3">
      <c r="A33" s="67" t="s">
        <v>362</v>
      </c>
      <c r="B33" s="72">
        <f t="shared" si="3"/>
        <v>4.3478260869565216E-2</v>
      </c>
      <c r="C33" s="72">
        <f t="shared" si="3"/>
        <v>4.3478260869565216E-2</v>
      </c>
      <c r="D33" s="72">
        <f t="shared" si="3"/>
        <v>0.17391304347826086</v>
      </c>
      <c r="E33" s="72">
        <f t="shared" si="3"/>
        <v>4.3478260869565216E-2</v>
      </c>
      <c r="F33" s="72">
        <f t="shared" si="3"/>
        <v>0.13043478260869565</v>
      </c>
      <c r="G33" s="72">
        <f t="shared" si="3"/>
        <v>4.3478260869565216E-2</v>
      </c>
      <c r="H33" s="72" t="str">
        <f t="shared" si="3"/>
        <v xml:space="preserve"> </v>
      </c>
      <c r="I33" s="75" t="str">
        <f t="shared" si="3"/>
        <v xml:space="preserve"> </v>
      </c>
    </row>
    <row r="34" spans="1:9" x14ac:dyDescent="0.3">
      <c r="A34" s="67" t="s">
        <v>363</v>
      </c>
      <c r="B34" s="72">
        <f t="shared" si="3"/>
        <v>0</v>
      </c>
      <c r="C34" s="72">
        <f t="shared" si="3"/>
        <v>2.9411764705882353E-2</v>
      </c>
      <c r="D34" s="72">
        <f t="shared" si="3"/>
        <v>8.8235294117647065E-2</v>
      </c>
      <c r="E34" s="72">
        <f t="shared" si="3"/>
        <v>2.9411764705882353E-2</v>
      </c>
      <c r="F34" s="72">
        <f t="shared" si="3"/>
        <v>8.8235294117647065E-2</v>
      </c>
      <c r="G34" s="72" t="str">
        <f t="shared" si="3"/>
        <v xml:space="preserve"> </v>
      </c>
      <c r="H34" s="72" t="str">
        <f t="shared" si="3"/>
        <v xml:space="preserve"> </v>
      </c>
      <c r="I34" s="75" t="str">
        <f t="shared" si="3"/>
        <v xml:space="preserve"> </v>
      </c>
    </row>
    <row r="35" spans="1:9" x14ac:dyDescent="0.3">
      <c r="A35" s="67" t="s">
        <v>364</v>
      </c>
      <c r="B35" s="72">
        <f t="shared" si="3"/>
        <v>0</v>
      </c>
      <c r="C35" s="72">
        <f t="shared" si="3"/>
        <v>0.14285714285714285</v>
      </c>
      <c r="D35" s="72">
        <f t="shared" si="3"/>
        <v>9.5238095238095233E-2</v>
      </c>
      <c r="E35" s="72">
        <f t="shared" si="3"/>
        <v>0.11904761904761904</v>
      </c>
      <c r="F35" s="72" t="str">
        <f t="shared" si="3"/>
        <v xml:space="preserve"> </v>
      </c>
      <c r="G35" s="72" t="str">
        <f t="shared" si="3"/>
        <v xml:space="preserve"> </v>
      </c>
      <c r="H35" s="72" t="str">
        <f t="shared" si="3"/>
        <v xml:space="preserve"> </v>
      </c>
      <c r="I35" s="75" t="str">
        <f t="shared" si="3"/>
        <v xml:space="preserve"> </v>
      </c>
    </row>
    <row r="36" spans="1:9" x14ac:dyDescent="0.3">
      <c r="A36" s="67" t="s">
        <v>365</v>
      </c>
      <c r="B36" s="72">
        <f t="shared" si="3"/>
        <v>3.1746031746031744E-2</v>
      </c>
      <c r="C36" s="72">
        <f t="shared" si="3"/>
        <v>0.12698412698412698</v>
      </c>
      <c r="D36" s="72">
        <f t="shared" si="3"/>
        <v>0.1111111111111111</v>
      </c>
      <c r="E36" s="72" t="str">
        <f t="shared" si="3"/>
        <v xml:space="preserve"> </v>
      </c>
      <c r="F36" s="72" t="str">
        <f t="shared" si="3"/>
        <v xml:space="preserve"> </v>
      </c>
      <c r="G36" s="72" t="str">
        <f t="shared" si="3"/>
        <v xml:space="preserve"> </v>
      </c>
      <c r="H36" s="72" t="str">
        <f t="shared" si="3"/>
        <v xml:space="preserve"> </v>
      </c>
      <c r="I36" s="75" t="str">
        <f t="shared" si="3"/>
        <v xml:space="preserve"> </v>
      </c>
    </row>
    <row r="37" spans="1:9" x14ac:dyDescent="0.3">
      <c r="A37" s="67" t="s">
        <v>366</v>
      </c>
      <c r="B37" s="72">
        <f t="shared" si="3"/>
        <v>1.9230769230769232E-2</v>
      </c>
      <c r="C37" s="72">
        <f t="shared" si="3"/>
        <v>0.13461538461538461</v>
      </c>
      <c r="D37" s="72" t="str">
        <f t="shared" si="3"/>
        <v xml:space="preserve"> </v>
      </c>
      <c r="E37" s="72" t="str">
        <f t="shared" si="3"/>
        <v xml:space="preserve"> </v>
      </c>
      <c r="F37" s="72" t="str">
        <f t="shared" si="3"/>
        <v xml:space="preserve"> </v>
      </c>
      <c r="G37" s="72" t="str">
        <f t="shared" si="3"/>
        <v xml:space="preserve"> </v>
      </c>
      <c r="H37" s="72" t="str">
        <f t="shared" si="3"/>
        <v xml:space="preserve"> </v>
      </c>
      <c r="I37" s="75" t="str">
        <f t="shared" si="3"/>
        <v xml:space="preserve"> </v>
      </c>
    </row>
    <row r="38" spans="1:9" x14ac:dyDescent="0.3">
      <c r="A38" s="67" t="s">
        <v>367</v>
      </c>
      <c r="B38" s="72">
        <f t="shared" si="3"/>
        <v>0</v>
      </c>
      <c r="C38" s="72" t="str">
        <f t="shared" si="3"/>
        <v xml:space="preserve"> </v>
      </c>
      <c r="D38" s="72" t="str">
        <f t="shared" si="3"/>
        <v xml:space="preserve"> </v>
      </c>
      <c r="E38" s="72" t="str">
        <f t="shared" si="3"/>
        <v xml:space="preserve"> </v>
      </c>
      <c r="F38" s="72" t="str">
        <f t="shared" si="3"/>
        <v xml:space="preserve"> </v>
      </c>
      <c r="G38" s="72" t="str">
        <f t="shared" si="3"/>
        <v xml:space="preserve"> </v>
      </c>
      <c r="H38" s="72" t="str">
        <f t="shared" si="3"/>
        <v xml:space="preserve"> </v>
      </c>
      <c r="I38" s="75" t="str">
        <f t="shared" si="3"/>
        <v xml:space="preserve"> </v>
      </c>
    </row>
    <row r="39" spans="1:9" x14ac:dyDescent="0.3">
      <c r="A39" s="80" t="s">
        <v>368</v>
      </c>
      <c r="B39" s="76">
        <f>AVERAGE(B31:B38)</f>
        <v>1.8390389314302355E-2</v>
      </c>
      <c r="C39" s="76">
        <f t="shared" ref="C39:I39" si="4">AVERAGE(C31:C38)</f>
        <v>9.8090412759758758E-2</v>
      </c>
      <c r="D39" s="76">
        <f t="shared" si="4"/>
        <v>0.1044169503248787</v>
      </c>
      <c r="E39" s="76">
        <f t="shared" si="4"/>
        <v>7.5116565653650061E-2</v>
      </c>
      <c r="F39" s="76">
        <f t="shared" si="4"/>
        <v>8.0655045169111664E-2</v>
      </c>
      <c r="G39" s="76">
        <f t="shared" si="4"/>
        <v>7.6169815300250091E-2</v>
      </c>
      <c r="H39" s="76">
        <f t="shared" si="4"/>
        <v>3.9847539847539845E-2</v>
      </c>
      <c r="I39" s="91">
        <f t="shared" si="4"/>
        <v>2.7027027027027029E-2</v>
      </c>
    </row>
  </sheetData>
  <conditionalFormatting sqref="B31:I3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scale="68" orientation="portrait" r:id="rId3"/>
  <colBreaks count="1" manualBreakCount="1">
    <brk id="1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B0429E-26A3-4685-8185-A40507B31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origen_datos_mensuales</vt:lpstr>
      <vt:lpstr>referencia</vt:lpstr>
      <vt:lpstr>retencion_mensual</vt:lpstr>
      <vt:lpstr>origen_datos_trimestral</vt:lpstr>
      <vt:lpstr>churn_trimestral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Cadillo Gonzales</dc:creator>
  <cp:lastModifiedBy>Gabriela Cadillo Gonzales</cp:lastModifiedBy>
  <cp:lastPrinted>2026-08-28T17:25:17Z</cp:lastPrinted>
  <dcterms:created xsi:type="dcterms:W3CDTF">2026-08-27T05:11:20Z</dcterms:created>
  <dcterms:modified xsi:type="dcterms:W3CDTF">2026-09-08T17:58:12Z</dcterms:modified>
</cp:coreProperties>
</file>